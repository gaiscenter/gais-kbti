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읽는 법" sheetId="1" state="visible" r:id="rId3"/>
    <sheet name="코딩" sheetId="2" state="visible" r:id="rId4"/>
    <sheet name="코드집" sheetId="3" state="visible" r:id="rId5"/>
  </sheets>
  <definedNames>
    <definedName function="false" hidden="true" localSheetId="1" name="_xlnm._FilterDatabase" vbProcedure="false">코딩!$A$2:$M$183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<sst xmlns="http://schemas.openxmlformats.org/spreadsheetml/2006/main" count="775" uniqueCount="620">
  <si>
    <r>
      <rPr>
        <b val="true"/>
        <sz val="14"/>
        <rFont val="Arial"/>
        <family val="0"/>
        <charset val="1"/>
      </rPr>
      <t xml:space="preserve">KBTI </t>
    </r>
    <r>
      <rPr>
        <b val="true"/>
        <sz val="14"/>
        <rFont val="Noto Sans CJK SC"/>
        <family val="2"/>
      </rPr>
      <t xml:space="preserve">인간 코딩 — 시험 세트 </t>
    </r>
    <r>
      <rPr>
        <b val="true"/>
        <sz val="14"/>
        <rFont val="Arial"/>
        <family val="0"/>
        <charset val="1"/>
      </rPr>
      <t xml:space="preserve">180</t>
    </r>
    <r>
      <rPr>
        <b val="true"/>
        <sz val="14"/>
        <rFont val="Noto Sans CJK SC"/>
        <family val="2"/>
      </rPr>
      <t xml:space="preserve">건  </t>
    </r>
    <r>
      <rPr>
        <b val="true"/>
        <sz val="14"/>
        <rFont val="Arial"/>
        <family val="0"/>
        <charset val="1"/>
      </rPr>
      <t xml:space="preserve">·  </t>
    </r>
    <r>
      <rPr>
        <b val="true"/>
        <sz val="14"/>
        <rFont val="Noto Sans CJK SC"/>
        <family val="2"/>
      </rPr>
      <t xml:space="preserve">코더 </t>
    </r>
    <r>
      <rPr>
        <b val="true"/>
        <sz val="14"/>
        <rFont val="Arial"/>
        <family val="0"/>
        <charset val="1"/>
      </rPr>
      <t xml:space="preserve">B</t>
    </r>
  </si>
  <si>
    <t xml:space="preserve">무엇인가</t>
  </si>
  <si>
    <r>
      <rPr>
        <sz val="10"/>
        <rFont val="Arial"/>
        <family val="0"/>
        <charset val="1"/>
      </rPr>
      <t xml:space="preserve">LLM </t>
    </r>
    <r>
      <rPr>
        <sz val="10"/>
        <rFont val="Noto Sans CJK SC"/>
        <family val="2"/>
      </rPr>
      <t xml:space="preserve">코딩과 </t>
    </r>
    <r>
      <rPr>
        <sz val="10"/>
        <rFont val="Arial"/>
        <family val="0"/>
        <charset val="1"/>
      </rPr>
      <t xml:space="preserve">GDELT </t>
    </r>
    <r>
      <rPr>
        <sz val="10"/>
        <rFont val="Noto Sans CJK SC"/>
        <family val="2"/>
      </rPr>
      <t xml:space="preserve">코딩을 사람 기준으로 재기 위한 독립 코딩입니다</t>
    </r>
    <r>
      <rPr>
        <sz val="10"/>
        <rFont val="Arial"/>
        <family val="0"/>
        <charset val="1"/>
      </rPr>
      <t xml:space="preserve">. </t>
    </r>
    <r>
      <rPr>
        <sz val="10"/>
        <rFont val="Noto Sans CJK SC"/>
        <family val="2"/>
      </rPr>
      <t xml:space="preserve">두 분이 같은 기사를 따로 코딩하고</t>
    </r>
    <r>
      <rPr>
        <sz val="10"/>
        <rFont val="Arial"/>
        <family val="0"/>
        <charset val="1"/>
      </rPr>
      <t xml:space="preserve">, </t>
    </r>
    <r>
      <rPr>
        <sz val="10"/>
        <rFont val="Noto Sans CJK SC"/>
        <family val="2"/>
      </rPr>
      <t xml:space="preserve">먼저 사람끼리의 일치도를 냅니다</t>
    </r>
    <r>
      <rPr>
        <sz val="10"/>
        <rFont val="Arial"/>
        <family val="0"/>
        <charset val="1"/>
      </rPr>
      <t xml:space="preserve">. </t>
    </r>
    <r>
      <rPr>
        <sz val="10"/>
        <rFont val="Noto Sans CJK SC"/>
        <family val="2"/>
      </rPr>
      <t xml:space="preserve">그 값이 </t>
    </r>
    <r>
      <rPr>
        <sz val="10"/>
        <rFont val="Arial"/>
        <family val="0"/>
        <charset val="1"/>
      </rPr>
      <t xml:space="preserve">LLM </t>
    </r>
    <r>
      <rPr>
        <sz val="10"/>
        <rFont val="Noto Sans CJK SC"/>
        <family val="2"/>
      </rPr>
      <t xml:space="preserve">이 넘어야 할 천장입니다</t>
    </r>
    <r>
      <rPr>
        <sz val="10"/>
        <rFont val="Arial"/>
        <family val="0"/>
        <charset val="1"/>
      </rPr>
      <t xml:space="preserve">.</t>
    </r>
  </si>
  <si>
    <t xml:space="preserve">유일한 지침</t>
  </si>
  <si>
    <r>
      <rPr>
        <sz val="10"/>
        <rFont val="Noto Sans CJK SC"/>
        <family val="2"/>
      </rPr>
      <t xml:space="preserve">코드북 </t>
    </r>
    <r>
      <rPr>
        <sz val="10"/>
        <rFont val="Arial"/>
        <family val="0"/>
        <charset val="1"/>
      </rPr>
      <t xml:space="preserve">v1.1. </t>
    </r>
    <r>
      <rPr>
        <sz val="10"/>
        <rFont val="Noto Sans CJK SC"/>
        <family val="2"/>
      </rPr>
      <t xml:space="preserve">이 시트는 코드북을 대체하지 않습니다</t>
    </r>
    <r>
      <rPr>
        <sz val="10"/>
        <rFont val="Arial"/>
        <family val="0"/>
        <charset val="1"/>
      </rPr>
      <t xml:space="preserve">. </t>
    </r>
    <r>
      <rPr>
        <sz val="10"/>
        <rFont val="Noto Sans CJK SC"/>
        <family val="2"/>
      </rPr>
      <t xml:space="preserve">판단이 서지 않으면 코드북을 보시고</t>
    </r>
    <r>
      <rPr>
        <sz val="10"/>
        <rFont val="Arial"/>
        <family val="0"/>
        <charset val="1"/>
      </rPr>
      <t xml:space="preserve">, </t>
    </r>
    <r>
      <rPr>
        <sz val="10"/>
        <rFont val="Noto Sans CJK SC"/>
        <family val="2"/>
      </rPr>
      <t xml:space="preserve">그래도 없으면 메모에 남기세요</t>
    </r>
    <r>
      <rPr>
        <sz val="10"/>
        <rFont val="Arial"/>
        <family val="0"/>
        <charset val="1"/>
      </rPr>
      <t xml:space="preserve">.</t>
    </r>
  </si>
  <si>
    <t xml:space="preserve">어떻게</t>
  </si>
  <si>
    <r>
      <rPr>
        <sz val="10"/>
        <rFont val="Arial"/>
        <family val="0"/>
        <charset val="1"/>
      </rPr>
      <t xml:space="preserve">'</t>
    </r>
    <r>
      <rPr>
        <sz val="10"/>
        <rFont val="Noto Sans CJK SC"/>
        <family val="2"/>
      </rPr>
      <t xml:space="preserve">코딩</t>
    </r>
    <r>
      <rPr>
        <sz val="10"/>
        <rFont val="Arial"/>
        <family val="0"/>
        <charset val="1"/>
      </rPr>
      <t xml:space="preserve">' </t>
    </r>
    <r>
      <rPr>
        <sz val="10"/>
        <rFont val="Noto Sans CJK SC"/>
        <family val="2"/>
      </rPr>
      <t xml:space="preserve">시트의 노란 칸만 채웁니다</t>
    </r>
    <r>
      <rPr>
        <sz val="10"/>
        <rFont val="Arial"/>
        <family val="0"/>
        <charset val="1"/>
      </rPr>
      <t xml:space="preserve">. </t>
    </r>
    <r>
      <rPr>
        <sz val="10"/>
        <rFont val="Noto Sans CJK SC"/>
        <family val="2"/>
      </rPr>
      <t xml:space="preserve">드롭다운이 있습니다</t>
    </r>
    <r>
      <rPr>
        <sz val="10"/>
        <rFont val="Arial"/>
        <family val="0"/>
        <charset val="1"/>
      </rPr>
      <t xml:space="preserve">.</t>
    </r>
  </si>
  <si>
    <r>
      <rPr>
        <sz val="10"/>
        <rFont val="Noto Sans CJK SC"/>
        <family val="2"/>
      </rPr>
      <t xml:space="preserve">제목과 두 단락만 읽고 판정합니다</t>
    </r>
    <r>
      <rPr>
        <sz val="10"/>
        <rFont val="Arial"/>
        <family val="0"/>
        <charset val="1"/>
      </rPr>
      <t xml:space="preserve">. </t>
    </r>
    <r>
      <rPr>
        <sz val="10"/>
        <rFont val="Noto Sans CJK SC"/>
        <family val="2"/>
      </rPr>
      <t xml:space="preserve">기사 원문을 찾아보지 않습니다</t>
    </r>
    <r>
      <rPr>
        <sz val="10"/>
        <rFont val="Arial"/>
        <family val="0"/>
        <charset val="1"/>
      </rPr>
      <t xml:space="preserve">.</t>
    </r>
  </si>
  <si>
    <r>
      <rPr>
        <sz val="10"/>
        <rFont val="Arial"/>
        <family val="0"/>
        <charset val="1"/>
      </rPr>
      <t xml:space="preserve">V1 </t>
    </r>
    <r>
      <rPr>
        <sz val="10"/>
        <rFont val="Noto Sans CJK SC"/>
        <family val="2"/>
      </rPr>
      <t xml:space="preserve">이 </t>
    </r>
    <r>
      <rPr>
        <sz val="10"/>
        <rFont val="Arial"/>
        <family val="0"/>
        <charset val="1"/>
      </rPr>
      <t xml:space="preserve">'</t>
    </r>
    <r>
      <rPr>
        <sz val="10"/>
        <rFont val="Noto Sans CJK SC"/>
        <family val="2"/>
      </rPr>
      <t xml:space="preserve">아니오</t>
    </r>
    <r>
      <rPr>
        <sz val="10"/>
        <rFont val="Arial"/>
        <family val="0"/>
        <charset val="1"/>
      </rPr>
      <t xml:space="preserve">'</t>
    </r>
    <r>
      <rPr>
        <sz val="10"/>
        <rFont val="Noto Sans CJK SC"/>
        <family val="2"/>
      </rPr>
      <t xml:space="preserve">나 </t>
    </r>
    <r>
      <rPr>
        <sz val="10"/>
        <rFont val="Arial"/>
        <family val="0"/>
        <charset val="1"/>
      </rPr>
      <t xml:space="preserve">'</t>
    </r>
    <r>
      <rPr>
        <sz val="10"/>
        <rFont val="Noto Sans CJK SC"/>
        <family val="2"/>
      </rPr>
      <t xml:space="preserve">판정불가</t>
    </r>
    <r>
      <rPr>
        <sz val="10"/>
        <rFont val="Arial"/>
        <family val="0"/>
        <charset val="1"/>
      </rPr>
      <t xml:space="preserve">'</t>
    </r>
    <r>
      <rPr>
        <sz val="10"/>
        <rFont val="Noto Sans CJK SC"/>
        <family val="2"/>
      </rPr>
      <t xml:space="preserve">면 </t>
    </r>
    <r>
      <rPr>
        <sz val="10"/>
        <rFont val="Arial"/>
        <family val="0"/>
        <charset val="1"/>
      </rPr>
      <t xml:space="preserve">V2~V5 </t>
    </r>
    <r>
      <rPr>
        <sz val="10"/>
        <rFont val="Noto Sans CJK SC"/>
        <family val="2"/>
      </rPr>
      <t xml:space="preserve">는 비워 둡니다</t>
    </r>
    <r>
      <rPr>
        <sz val="10"/>
        <rFont val="Arial"/>
        <family val="0"/>
        <charset val="1"/>
      </rPr>
      <t xml:space="preserve">.</t>
    </r>
  </si>
  <si>
    <r>
      <rPr>
        <sz val="10"/>
        <rFont val="Arial"/>
        <family val="0"/>
        <charset val="1"/>
      </rPr>
      <t xml:space="preserve">'</t>
    </r>
    <r>
      <rPr>
        <sz val="10"/>
        <rFont val="Noto Sans CJK SC"/>
        <family val="2"/>
      </rPr>
      <t xml:space="preserve">코드 확인</t>
    </r>
    <r>
      <rPr>
        <sz val="10"/>
        <rFont val="Arial"/>
        <family val="0"/>
        <charset val="1"/>
      </rPr>
      <t xml:space="preserve">' </t>
    </r>
    <r>
      <rPr>
        <sz val="10"/>
        <rFont val="Noto Sans CJK SC"/>
        <family val="2"/>
      </rPr>
      <t xml:space="preserve">열은 자동입니다 — </t>
    </r>
    <r>
      <rPr>
        <sz val="10"/>
        <rFont val="Arial"/>
        <family val="0"/>
        <charset val="1"/>
      </rPr>
      <t xml:space="preserve">V5 </t>
    </r>
    <r>
      <rPr>
        <sz val="10"/>
        <rFont val="Noto Sans CJK SC"/>
        <family val="2"/>
      </rPr>
      <t xml:space="preserve">에 고른 코드의 이름이 뜹니다</t>
    </r>
    <r>
      <rPr>
        <sz val="10"/>
        <rFont val="Arial"/>
        <family val="0"/>
        <charset val="1"/>
      </rPr>
      <t xml:space="preserve">. </t>
    </r>
    <r>
      <rPr>
        <sz val="10"/>
        <rFont val="Noto Sans CJK SC"/>
        <family val="2"/>
      </rPr>
      <t xml:space="preserve">손대지 마세요</t>
    </r>
    <r>
      <rPr>
        <sz val="10"/>
        <rFont val="Arial"/>
        <family val="0"/>
        <charset val="1"/>
      </rPr>
      <t xml:space="preserve">.</t>
    </r>
  </si>
  <si>
    <r>
      <rPr>
        <sz val="10"/>
        <rFont val="Arial"/>
        <family val="0"/>
        <charset val="1"/>
      </rPr>
      <t xml:space="preserve">'</t>
    </r>
    <r>
      <rPr>
        <sz val="10"/>
        <rFont val="Noto Sans CJK SC"/>
        <family val="2"/>
      </rPr>
      <t xml:space="preserve">확신</t>
    </r>
    <r>
      <rPr>
        <sz val="10"/>
        <rFont val="Arial"/>
        <family val="0"/>
        <charset val="1"/>
      </rPr>
      <t xml:space="preserve">' </t>
    </r>
    <r>
      <rPr>
        <sz val="10"/>
        <rFont val="Noto Sans CJK SC"/>
        <family val="2"/>
      </rPr>
      <t xml:space="preserve">은 판정불가로 돌릴까 망설인 건에 </t>
    </r>
    <r>
      <rPr>
        <sz val="10"/>
        <rFont val="Arial"/>
        <family val="0"/>
        <charset val="1"/>
      </rPr>
      <t xml:space="preserve">'</t>
    </r>
    <r>
      <rPr>
        <sz val="10"/>
        <rFont val="Noto Sans CJK SC"/>
        <family val="2"/>
      </rPr>
      <t xml:space="preserve">낮음</t>
    </r>
    <r>
      <rPr>
        <sz val="10"/>
        <rFont val="Arial"/>
        <family val="0"/>
        <charset val="1"/>
      </rPr>
      <t xml:space="preserve">' </t>
    </r>
    <r>
      <rPr>
        <sz val="10"/>
        <rFont val="Noto Sans CJK SC"/>
        <family val="2"/>
      </rPr>
      <t xml:space="preserve">을 답니다</t>
    </r>
    <r>
      <rPr>
        <sz val="10"/>
        <rFont val="Arial"/>
        <family val="0"/>
        <charset val="1"/>
      </rPr>
      <t xml:space="preserve">.</t>
    </r>
  </si>
  <si>
    <t xml:space="preserve">반드시</t>
  </si>
  <si>
    <r>
      <rPr>
        <sz val="10"/>
        <rFont val="Noto Sans CJK SC"/>
        <family val="2"/>
      </rPr>
      <t xml:space="preserve">판정불가를 아끼지 마세요</t>
    </r>
    <r>
      <rPr>
        <sz val="10"/>
        <rFont val="Arial"/>
        <family val="0"/>
        <charset val="1"/>
      </rPr>
      <t xml:space="preserve">. </t>
    </r>
    <r>
      <rPr>
        <sz val="10"/>
        <rFont val="Noto Sans CJK SC"/>
        <family val="2"/>
      </rPr>
      <t xml:space="preserve">억지로 고른 값이 일치도를 올리고 지수를 망칩니다</t>
    </r>
    <r>
      <rPr>
        <sz val="10"/>
        <rFont val="Arial"/>
        <family val="0"/>
        <charset val="1"/>
      </rPr>
      <t xml:space="preserve">.</t>
    </r>
  </si>
  <si>
    <r>
      <rPr>
        <sz val="10"/>
        <rFont val="Noto Sans CJK SC"/>
        <family val="2"/>
      </rPr>
      <t xml:space="preserve">애매한 건은 메모에 한 줄 남겨 주세요</t>
    </r>
    <r>
      <rPr>
        <sz val="10"/>
        <rFont val="Arial"/>
        <family val="0"/>
        <charset val="1"/>
      </rPr>
      <t xml:space="preserve">. </t>
    </r>
    <r>
      <rPr>
        <sz val="10"/>
        <rFont val="Noto Sans CJK SC"/>
        <family val="2"/>
      </rPr>
      <t xml:space="preserve">코드북을 고치는 근거가 됩니다</t>
    </r>
    <r>
      <rPr>
        <sz val="10"/>
        <rFont val="Arial"/>
        <family val="0"/>
        <charset val="1"/>
      </rPr>
      <t xml:space="preserve">.</t>
    </r>
  </si>
  <si>
    <r>
      <rPr>
        <sz val="10"/>
        <rFont val="Noto Sans CJK SC"/>
        <family val="2"/>
      </rPr>
      <t xml:space="preserve">다른 코더와 상의하지 않습니다</t>
    </r>
    <r>
      <rPr>
        <sz val="10"/>
        <rFont val="Arial"/>
        <family val="0"/>
        <charset val="1"/>
      </rPr>
      <t xml:space="preserve">. </t>
    </r>
    <r>
      <rPr>
        <sz val="10"/>
        <rFont val="Noto Sans CJK SC"/>
        <family val="2"/>
      </rPr>
      <t xml:space="preserve">상의하면 일치도가 측정값이 아니게 됩니다</t>
    </r>
    <r>
      <rPr>
        <sz val="10"/>
        <rFont val="Arial"/>
        <family val="0"/>
        <charset val="1"/>
      </rPr>
      <t xml:space="preserve">.</t>
    </r>
  </si>
  <si>
    <r>
      <rPr>
        <sz val="10"/>
        <rFont val="Arial"/>
        <family val="0"/>
        <charset val="1"/>
      </rPr>
      <t xml:space="preserve">GDELT </t>
    </r>
    <r>
      <rPr>
        <sz val="10"/>
        <rFont val="Noto Sans CJK SC"/>
        <family val="2"/>
      </rPr>
      <t xml:space="preserve">배정과 </t>
    </r>
    <r>
      <rPr>
        <sz val="10"/>
        <rFont val="Arial"/>
        <family val="0"/>
        <charset val="1"/>
      </rPr>
      <t xml:space="preserve">LLM </t>
    </r>
    <r>
      <rPr>
        <sz val="10"/>
        <rFont val="Noto Sans CJK SC"/>
        <family val="2"/>
      </rPr>
      <t xml:space="preserve">코딩은 일부러 넣지 않았습니다</t>
    </r>
    <r>
      <rPr>
        <sz val="10"/>
        <rFont val="Arial"/>
        <family val="0"/>
        <charset val="1"/>
      </rPr>
      <t xml:space="preserve">.</t>
    </r>
  </si>
  <si>
    <t xml:space="preserve">표본</t>
  </si>
  <si>
    <r>
      <rPr>
        <sz val="10"/>
        <rFont val="Noto Sans CJK SC"/>
        <family val="2"/>
      </rPr>
      <t xml:space="preserve">복원한 감사 로그 </t>
    </r>
    <r>
      <rPr>
        <sz val="10"/>
        <rFont val="Arial"/>
        <family val="0"/>
        <charset val="1"/>
      </rPr>
      <t xml:space="preserve">37</t>
    </r>
    <r>
      <rPr>
        <sz val="10"/>
        <rFont val="Noto Sans CJK SC"/>
        <family val="2"/>
      </rPr>
      <t xml:space="preserve">일치에서 제목이 있는 고유 기사 </t>
    </r>
    <r>
      <rPr>
        <sz val="10"/>
        <rFont val="Arial"/>
        <family val="0"/>
        <charset val="1"/>
      </rPr>
      <t xml:space="preserve">1,748</t>
    </r>
    <r>
      <rPr>
        <sz val="10"/>
        <rFont val="Noto Sans CJK SC"/>
        <family val="2"/>
      </rPr>
      <t xml:space="preserve">건 중 날짜 비례로 </t>
    </r>
    <r>
      <rPr>
        <sz val="10"/>
        <rFont val="Arial"/>
        <family val="0"/>
        <charset val="1"/>
      </rPr>
      <t xml:space="preserve">180</t>
    </r>
    <r>
      <rPr>
        <sz val="10"/>
        <rFont val="Noto Sans CJK SC"/>
        <family val="2"/>
      </rPr>
      <t xml:space="preserve">건</t>
    </r>
    <r>
      <rPr>
        <sz val="10"/>
        <rFont val="Arial"/>
        <family val="0"/>
        <charset val="1"/>
      </rPr>
      <t xml:space="preserve">. </t>
    </r>
    <r>
      <rPr>
        <sz val="10"/>
        <rFont val="Noto Sans CJK SC"/>
        <family val="2"/>
      </rPr>
      <t xml:space="preserve">난수씨 </t>
    </r>
    <r>
      <rPr>
        <sz val="10"/>
        <rFont val="Arial"/>
        <family val="0"/>
        <charset val="1"/>
      </rPr>
      <t xml:space="preserve">20261021 </t>
    </r>
    <r>
      <rPr>
        <sz val="10"/>
        <rFont val="Noto Sans CJK SC"/>
        <family val="2"/>
      </rPr>
      <t xml:space="preserve">고정</t>
    </r>
    <r>
      <rPr>
        <sz val="10"/>
        <rFont val="Arial"/>
        <family val="0"/>
        <charset val="1"/>
      </rPr>
      <t xml:space="preserve">.</t>
    </r>
  </si>
  <si>
    <r>
      <rPr>
        <sz val="10"/>
        <rFont val="Noto Sans CJK SC"/>
        <family val="2"/>
      </rPr>
      <t xml:space="preserve">코드북을 만들고 고칠 때 쓴 </t>
    </r>
    <r>
      <rPr>
        <sz val="10"/>
        <rFont val="Arial"/>
        <family val="0"/>
        <charset val="1"/>
      </rPr>
      <t xml:space="preserve">9</t>
    </r>
    <r>
      <rPr>
        <sz val="10"/>
        <rFont val="Noto Sans CJK SC"/>
        <family val="2"/>
      </rPr>
      <t xml:space="preserve">월 </t>
    </r>
    <r>
      <rPr>
        <sz val="10"/>
        <rFont val="Arial"/>
        <family val="0"/>
        <charset val="1"/>
      </rPr>
      <t xml:space="preserve">20</t>
    </r>
    <r>
      <rPr>
        <sz val="10"/>
        <rFont val="Noto Sans CJK SC"/>
        <family val="2"/>
      </rPr>
      <t xml:space="preserve">일</t>
    </r>
    <r>
      <rPr>
        <sz val="10"/>
        <rFont val="Arial"/>
        <family val="0"/>
        <charset val="1"/>
      </rPr>
      <t xml:space="preserve">·10</t>
    </r>
    <r>
      <rPr>
        <sz val="10"/>
        <rFont val="Noto Sans CJK SC"/>
        <family val="2"/>
      </rPr>
      <t xml:space="preserve">월 </t>
    </r>
    <r>
      <rPr>
        <sz val="10"/>
        <rFont val="Arial"/>
        <family val="0"/>
        <charset val="1"/>
      </rPr>
      <t xml:space="preserve">3</t>
    </r>
    <r>
      <rPr>
        <sz val="10"/>
        <rFont val="Noto Sans CJK SC"/>
        <family val="2"/>
      </rPr>
      <t xml:space="preserve">일 기사는 전부 뺐습니다</t>
    </r>
    <r>
      <rPr>
        <sz val="10"/>
        <rFont val="Arial"/>
        <family val="0"/>
        <charset val="1"/>
      </rPr>
      <t xml:space="preserve">.</t>
    </r>
  </si>
  <si>
    <r>
      <rPr>
        <sz val="10"/>
        <rFont val="Noto Sans CJK SC"/>
        <family val="2"/>
      </rPr>
      <t xml:space="preserve">제목만 있고 단락이 빈 기사가 </t>
    </r>
    <r>
      <rPr>
        <sz val="10"/>
        <rFont val="Arial"/>
        <family val="0"/>
        <charset val="1"/>
      </rPr>
      <t xml:space="preserve">31</t>
    </r>
    <r>
      <rPr>
        <sz val="10"/>
        <rFont val="Noto Sans CJK SC"/>
        <family val="2"/>
      </rPr>
      <t xml:space="preserve">건 들어 있습니다</t>
    </r>
    <r>
      <rPr>
        <sz val="10"/>
        <rFont val="Arial"/>
        <family val="0"/>
        <charset val="1"/>
      </rPr>
      <t xml:space="preserve">. </t>
    </r>
    <r>
      <rPr>
        <sz val="10"/>
        <rFont val="Noto Sans CJK SC"/>
        <family val="2"/>
      </rPr>
      <t xml:space="preserve">모집단의 실제 모습이며</t>
    </r>
    <r>
      <rPr>
        <sz val="10"/>
        <rFont val="Arial"/>
        <family val="0"/>
        <charset val="1"/>
      </rPr>
      <t xml:space="preserve">, </t>
    </r>
    <r>
      <rPr>
        <sz val="10"/>
        <rFont val="Noto Sans CJK SC"/>
        <family val="2"/>
      </rPr>
      <t xml:space="preserve">코드북 </t>
    </r>
    <r>
      <rPr>
        <sz val="10"/>
        <rFont val="Arial"/>
        <family val="0"/>
        <charset val="1"/>
      </rPr>
      <t xml:space="preserve">9</t>
    </r>
    <r>
      <rPr>
        <sz val="10"/>
        <rFont val="Noto Sans CJK SC"/>
        <family val="2"/>
      </rPr>
      <t xml:space="preserve">장대로 제목이 사건을 다 말하면 코딩합니다</t>
    </r>
    <r>
      <rPr>
        <sz val="10"/>
        <rFont val="Arial"/>
        <family val="0"/>
        <charset val="1"/>
      </rPr>
      <t xml:space="preserve">.</t>
    </r>
  </si>
  <si>
    <t xml:space="preserve">분량</t>
  </si>
  <si>
    <r>
      <rPr>
        <sz val="10"/>
        <rFont val="Arial"/>
        <family val="0"/>
        <charset val="1"/>
      </rPr>
      <t xml:space="preserve">180</t>
    </r>
    <r>
      <rPr>
        <sz val="10"/>
        <rFont val="Noto Sans CJK SC"/>
        <family val="2"/>
      </rPr>
      <t xml:space="preserve">건에 </t>
    </r>
    <r>
      <rPr>
        <sz val="10"/>
        <rFont val="Arial"/>
        <family val="0"/>
        <charset val="1"/>
      </rPr>
      <t xml:space="preserve">3</t>
    </r>
    <r>
      <rPr>
        <sz val="10"/>
        <rFont val="Noto Sans CJK SC"/>
        <family val="2"/>
      </rPr>
      <t xml:space="preserve">시간 </t>
    </r>
    <r>
      <rPr>
        <sz val="10"/>
        <rFont val="Arial"/>
        <family val="0"/>
        <charset val="1"/>
      </rPr>
      <t xml:space="preserve">30</t>
    </r>
    <r>
      <rPr>
        <sz val="10"/>
        <rFont val="Noto Sans CJK SC"/>
        <family val="2"/>
      </rPr>
      <t xml:space="preserve">분 안팎</t>
    </r>
    <r>
      <rPr>
        <sz val="10"/>
        <rFont val="Arial"/>
        <family val="0"/>
        <charset val="1"/>
      </rPr>
      <t xml:space="preserve">. </t>
    </r>
    <r>
      <rPr>
        <sz val="10"/>
        <rFont val="Noto Sans CJK SC"/>
        <family val="2"/>
      </rPr>
      <t xml:space="preserve">한 번에 끝낼 필요 없습니다</t>
    </r>
    <r>
      <rPr>
        <sz val="10"/>
        <rFont val="Arial"/>
        <family val="0"/>
        <charset val="1"/>
      </rPr>
      <t xml:space="preserve">.</t>
    </r>
  </si>
  <si>
    <t xml:space="preserve">진행</t>
  </si>
  <si>
    <r>
      <rPr>
        <b val="true"/>
        <sz val="10"/>
        <color rgb="FFC00000"/>
        <rFont val="Noto Sans CJK SC"/>
        <family val="2"/>
      </rPr>
      <t xml:space="preserve">노란 칸만 채웁니다</t>
    </r>
    <r>
      <rPr>
        <b val="true"/>
        <sz val="10"/>
        <color rgb="FFC00000"/>
        <rFont val="Arial"/>
        <family val="0"/>
        <charset val="1"/>
      </rPr>
      <t xml:space="preserve">. 3</t>
    </r>
    <r>
      <rPr>
        <b val="true"/>
        <sz val="10"/>
        <color rgb="FFC00000"/>
        <rFont val="Noto Sans CJK SC"/>
        <family val="2"/>
      </rPr>
      <t xml:space="preserve">행은 형식을 보여 주는 예시이니 지우고 시작하세요</t>
    </r>
    <r>
      <rPr>
        <b val="true"/>
        <sz val="10"/>
        <color rgb="FFC00000"/>
        <rFont val="Arial"/>
        <family val="0"/>
        <charset val="1"/>
      </rPr>
      <t xml:space="preserve">.</t>
    </r>
  </si>
  <si>
    <t xml:space="preserve">ID</t>
  </si>
  <si>
    <t xml:space="preserve">날짜</t>
  </si>
  <si>
    <t xml:space="preserve">제목</t>
  </si>
  <si>
    <t xml:space="preserve">첫 단락</t>
  </si>
  <si>
    <t xml:space="preserve">둘째 단락</t>
  </si>
  <si>
    <r>
      <rPr>
        <b val="true"/>
        <sz val="9"/>
        <color rgb="FFFFFFFF"/>
        <rFont val="Arial"/>
        <family val="0"/>
        <charset val="1"/>
      </rPr>
      <t xml:space="preserve">V1 </t>
    </r>
    <r>
      <rPr>
        <b val="true"/>
        <sz val="9"/>
        <color rgb="FFFFFFFF"/>
        <rFont val="Noto Sans CJK SC"/>
        <family val="2"/>
      </rPr>
      <t xml:space="preserve">관련</t>
    </r>
  </si>
  <si>
    <r>
      <rPr>
        <b val="true"/>
        <sz val="9"/>
        <color rgb="FFFFFFFF"/>
        <rFont val="Arial"/>
        <family val="0"/>
        <charset val="1"/>
      </rPr>
      <t xml:space="preserve">V2 </t>
    </r>
    <r>
      <rPr>
        <b val="true"/>
        <sz val="9"/>
        <color rgb="FFFFFFFF"/>
        <rFont val="Noto Sans CJK SC"/>
        <family val="2"/>
      </rPr>
      <t xml:space="preserve">상대국</t>
    </r>
  </si>
  <si>
    <r>
      <rPr>
        <b val="true"/>
        <sz val="9"/>
        <color rgb="FFFFFFFF"/>
        <rFont val="Arial"/>
        <family val="0"/>
        <charset val="1"/>
      </rPr>
      <t xml:space="preserve">V3 </t>
    </r>
    <r>
      <rPr>
        <b val="true"/>
        <sz val="9"/>
        <color rgb="FFFFFFFF"/>
        <rFont val="Noto Sans CJK SC"/>
        <family val="2"/>
      </rPr>
      <t xml:space="preserve">방향</t>
    </r>
  </si>
  <si>
    <r>
      <rPr>
        <b val="true"/>
        <sz val="9"/>
        <color rgb="FFFFFFFF"/>
        <rFont val="Arial"/>
        <family val="0"/>
        <charset val="1"/>
      </rPr>
      <t xml:space="preserve">V4 </t>
    </r>
    <r>
      <rPr>
        <b val="true"/>
        <sz val="9"/>
        <color rgb="FFFFFFFF"/>
        <rFont val="Noto Sans CJK SC"/>
        <family val="2"/>
      </rPr>
      <t xml:space="preserve">주제</t>
    </r>
  </si>
  <si>
    <r>
      <rPr>
        <b val="true"/>
        <sz val="9"/>
        <color rgb="FFFFFFFF"/>
        <rFont val="Arial"/>
        <family val="0"/>
        <charset val="1"/>
      </rPr>
      <t xml:space="preserve">V5 </t>
    </r>
    <r>
      <rPr>
        <b val="true"/>
        <sz val="9"/>
        <color rgb="FFFFFFFF"/>
        <rFont val="Noto Sans CJK SC"/>
        <family val="2"/>
      </rPr>
      <t xml:space="preserve">코드</t>
    </r>
  </si>
  <si>
    <t xml:space="preserve">코드 확인</t>
  </si>
  <si>
    <t xml:space="preserve">확신</t>
  </si>
  <si>
    <t xml:space="preserve">메모</t>
  </si>
  <si>
    <t xml:space="preserve">예시</t>
  </si>
  <si>
    <t xml:space="preserve">2026-09-24</t>
  </si>
  <si>
    <t xml:space="preserve">North Korea fires two ballistic missiles off east coast</t>
  </si>
  <si>
    <t xml:space="preserve">North Korea has launched two short-range ballistic missiles towards the sea, South Korea's military says.</t>
  </si>
  <si>
    <t xml:space="preserve">예</t>
  </si>
  <si>
    <t xml:space="preserve">PRK</t>
  </si>
  <si>
    <t xml:space="preserve">threat</t>
  </si>
  <si>
    <t xml:space="preserve">군사</t>
  </si>
  <si>
    <t xml:space="preserve">150</t>
  </si>
  <si>
    <t xml:space="preserve">높음</t>
  </si>
  <si>
    <r>
      <rPr>
        <i val="true"/>
        <sz val="9"/>
        <rFont val="Arial"/>
        <family val="0"/>
        <charset val="1"/>
      </rPr>
      <t xml:space="preserve">R1 — </t>
    </r>
    <r>
      <rPr>
        <i val="true"/>
        <sz val="9"/>
        <rFont val="Noto Sans CJK SC"/>
        <family val="2"/>
      </rPr>
      <t xml:space="preserve">바다로 쏜 시험이므로 </t>
    </r>
    <r>
      <rPr>
        <i val="true"/>
        <sz val="9"/>
        <rFont val="Arial"/>
        <family val="0"/>
        <charset val="1"/>
      </rPr>
      <t xml:space="preserve">150, 190 </t>
    </r>
    <r>
      <rPr>
        <i val="true"/>
        <sz val="9"/>
        <rFont val="Noto Sans CJK SC"/>
        <family val="2"/>
      </rPr>
      <t xml:space="preserve">아님</t>
    </r>
  </si>
  <si>
    <t xml:space="preserve">2026-10-01</t>
  </si>
  <si>
    <t xml:space="preserve">South Korea leader urges Pyongyang dialogue - World News</t>
  </si>
  <si>
    <t xml:space="preserve">South Korean President Lee Jae Myung delivers a speech during the 78th Armed Forces Day at a military base in Gyeryong on October 1, 2026. (AFP Photo)</t>
  </si>
  <si>
    <t xml:space="preserve">South Korean President Lee Jae Myung urged North Korea on Oct. 1 to return to dialogue, a day after Seoul ’s military demanded an apology over a blast in the Demilitarized Zone ( DMZ ) that severely injured three South Korean soldiers.</t>
  </si>
  <si>
    <t xml:space="preserve">2026-09-21</t>
  </si>
  <si>
    <t xml:space="preserve">N Korea fires 2 ballistic missiles off east coast - Oman Observer</t>
  </si>
  <si>
    <t xml:space="preserve">SEOUL: North Korea fired two short-range ballistic missiles into the sea off its eastern coast on Sunday, South Korea's military said, with the second flying more than 600 kilometres. The launches came days after Pyongyang reasserted its status as a nuclear-armed state and rejected a United Nations resolution demanding it halt its nuclear activities. South Korea's military said the first missile was launched at around 3:00 pm from the Wonsan area and flew around 450 kilometres into the East Sea, a body of water also called the Sea of Japan. "Our military detected an additional short-range ballistic missile launched from the Wonsan area of North Korea towards the East Sea at around 5:50 pm," South Korea's Joint Chiefs of Staff (JCS) said. The second missile "flew more than 600 kilometres, and South Korean and US authorities are conducting a detailed analysis to determine its exact specifications," it said. The JCS said South Korea, the United States and Japan had been "tracking and sharing relevant developments from the initial stage of the launch". Japan lodged a "stern protest" with North Korea over the launches, condemning them as a threat to regional peace and security, the Kyodo news agency cited the government as saying. South Korea's presidential National Security Office convened an emergency security meeting following the first launch and assessed its impact on national security, the presidential office said. The government called on Pyongyang to "immediately cease" its ballistic missile launches, describing Sunday's firings as a "grave act" that violated UN Security Council resolutions. The launches came eight days after North Korea fired multiple short-range ballistic missiles towards the East Sea as part of what it later described as a joint firepower drill. That exercise involved long-range artillery and missiles, with the weapons "hitting the targets with 100 per cent accuracy", state media reported. North Korea accused "hostile forces" of seeking to end the country's nuclear programme during this week's General Conference of the International Atomic Energy Agency (IAEA). A foreign ministry spokesperson said the IAEA resolution "has no effect on the DPRK's position as a nuclear weapons state", using the acronym for North Korea's official name. The North's status as a nuclear power is "guaranteed by the actual nuclear deterrent and irreversibly and permanently fixed by the supreme law of the state", the spokesperson said. Kim Yo Jong, the powerful sister of North Korean leader Kim Jong Un, recently said the country's nuclear-armed status was "absolute" and called those hoping for its denuclearisation "idiots". US President Donald Trump said in August that North Korea possessed 57 "very powerful" nuclear weapons, while South Korea has put the figure at between 80 and 120. — AFP</t>
  </si>
  <si>
    <t xml:space="preserve">2026-10-09</t>
  </si>
  <si>
    <t xml:space="preserve">Пхеньян против планов Сеула оказать помощь КНДР l KBS WORLD Russian</t>
  </si>
  <si>
    <t xml:space="preserve">Политика Президент РК поздравил граждан с Днём корейской письменности 2026-10-09 12:22:28</t>
  </si>
  <si>
    <t xml:space="preserve">2026-10-20</t>
  </si>
  <si>
    <t xml:space="preserve">Jutarnji list - Šire se neprovjerene vijesti o stanju Kim Jong-una, izvanredno se obratila njegova sestra</t>
  </si>
  <si>
    <t xml:space="preserve">2026-09-22</t>
  </si>
  <si>
    <r>
      <rPr>
        <sz val="9"/>
        <rFont val="Arial"/>
        <family val="0"/>
        <charset val="1"/>
      </rPr>
      <t xml:space="preserve">[</t>
    </r>
    <r>
      <rPr>
        <sz val="9"/>
        <rFont val="Noto Sans CJK SC"/>
        <family val="2"/>
      </rPr>
      <t xml:space="preserve">사설</t>
    </r>
    <r>
      <rPr>
        <sz val="9"/>
        <rFont val="Arial"/>
        <family val="0"/>
        <charset val="1"/>
      </rPr>
      <t xml:space="preserve">]</t>
    </r>
    <r>
      <rPr>
        <sz val="9"/>
        <rFont val="Noto Sans CJK SC"/>
        <family val="2"/>
      </rPr>
      <t xml:space="preserve">윤곽 드러난 대미투자</t>
    </r>
    <r>
      <rPr>
        <sz val="9"/>
        <rFont val="Arial"/>
        <family val="0"/>
        <charset val="1"/>
      </rPr>
      <t xml:space="preserve">, </t>
    </r>
    <r>
      <rPr>
        <sz val="9"/>
        <rFont val="Noto Sans CJK SC"/>
        <family val="2"/>
      </rPr>
      <t xml:space="preserve">끝까지 수익성 확보해야 </t>
    </r>
    <r>
      <rPr>
        <sz val="9"/>
        <rFont val="Arial"/>
        <family val="0"/>
        <charset val="1"/>
      </rPr>
      <t xml:space="preserve">- </t>
    </r>
    <r>
      <rPr>
        <sz val="9"/>
        <rFont val="Noto Sans CJK SC"/>
        <family val="2"/>
      </rPr>
      <t xml:space="preserve">파이낸셜뉴스</t>
    </r>
  </si>
  <si>
    <r>
      <rPr>
        <sz val="9"/>
        <rFont val="Noto Sans CJK SC"/>
        <family val="2"/>
      </rPr>
      <t xml:space="preserve">정부의 대미 전략투자 윤곽이 드러났다</t>
    </r>
    <r>
      <rPr>
        <sz val="9"/>
        <rFont val="Arial"/>
        <family val="0"/>
        <charset val="1"/>
      </rPr>
      <t xml:space="preserve">. </t>
    </r>
    <r>
      <rPr>
        <sz val="9"/>
        <rFont val="Noto Sans CJK SC"/>
        <family val="2"/>
      </rPr>
      <t xml:space="preserve">정부는 </t>
    </r>
    <r>
      <rPr>
        <sz val="9"/>
        <rFont val="Arial"/>
        <family val="0"/>
        <charset val="1"/>
      </rPr>
      <t xml:space="preserve">22</t>
    </r>
    <r>
      <rPr>
        <sz val="9"/>
        <rFont val="Noto Sans CJK SC"/>
        <family val="2"/>
      </rPr>
      <t xml:space="preserve">일 국회에 투자 </t>
    </r>
    <r>
      <rPr>
        <sz val="9"/>
        <rFont val="Arial"/>
        <family val="0"/>
        <charset val="1"/>
      </rPr>
      <t xml:space="preserve">1</t>
    </r>
    <r>
      <rPr>
        <sz val="9"/>
        <rFont val="Noto Sans CJK SC"/>
        <family val="2"/>
      </rPr>
      <t xml:space="preserve">호 사업으로 미국 텍사스 엔시날 가스복합발전소 건설을 추진하겠다고 보고했다</t>
    </r>
    <r>
      <rPr>
        <sz val="9"/>
        <rFont val="Arial"/>
        <family val="0"/>
        <charset val="1"/>
      </rPr>
      <t xml:space="preserve">. </t>
    </r>
    <r>
      <rPr>
        <sz val="9"/>
        <rFont val="Noto Sans CJK SC"/>
        <family val="2"/>
      </rPr>
      <t xml:space="preserve">미국 내 대형 원전 </t>
    </r>
    <r>
      <rPr>
        <sz val="9"/>
        <rFont val="Arial"/>
        <family val="0"/>
        <charset val="1"/>
      </rPr>
      <t xml:space="preserve">8</t>
    </r>
    <r>
      <rPr>
        <sz val="9"/>
        <rFont val="Noto Sans CJK SC"/>
        <family val="2"/>
      </rPr>
      <t xml:space="preserve">기 건설과 알래스카 액화천연가스</t>
    </r>
    <r>
      <rPr>
        <sz val="9"/>
        <rFont val="Arial"/>
        <family val="0"/>
        <charset val="1"/>
      </rPr>
      <t xml:space="preserve">(LNG) </t>
    </r>
    <r>
      <rPr>
        <sz val="9"/>
        <rFont val="Noto Sans CJK SC"/>
        <family val="2"/>
      </rPr>
      <t xml:space="preserve">개발은 </t>
    </r>
    <r>
      <rPr>
        <sz val="9"/>
        <rFont val="Arial"/>
        <family val="0"/>
        <charset val="1"/>
      </rPr>
      <t xml:space="preserve">2·3</t>
    </r>
    <r>
      <rPr>
        <sz val="9"/>
        <rFont val="Noto Sans CJK SC"/>
        <family val="2"/>
      </rPr>
      <t xml:space="preserve">호 협의 과제로 제시했다</t>
    </r>
    <r>
      <rPr>
        <sz val="9"/>
        <rFont val="Arial"/>
        <family val="0"/>
        <charset val="1"/>
      </rPr>
      <t xml:space="preserve">. </t>
    </r>
    <r>
      <rPr>
        <sz val="9"/>
        <rFont val="Noto Sans CJK SC"/>
        <family val="2"/>
      </rPr>
      <t xml:space="preserve">후속협상에서도 끝까지 국익을 최우선 기준으로 삼아야 할 것이다</t>
    </r>
    <r>
      <rPr>
        <sz val="9"/>
        <rFont val="Arial"/>
        <family val="0"/>
        <charset val="1"/>
      </rPr>
      <t xml:space="preserve">.</t>
    </r>
  </si>
  <si>
    <r>
      <rPr>
        <sz val="9"/>
        <rFont val="Arial"/>
        <family val="0"/>
        <charset val="1"/>
      </rPr>
      <t xml:space="preserve">1</t>
    </r>
    <r>
      <rPr>
        <sz val="9"/>
        <rFont val="Noto Sans CJK SC"/>
        <family val="2"/>
      </rPr>
      <t xml:space="preserve">호인 엔시날 가스발전에 대해 정부는 사업성을 검토한 결과 수익성이 충분히 있는 것으로 판단했다고 한다</t>
    </r>
    <r>
      <rPr>
        <sz val="9"/>
        <rFont val="Arial"/>
        <family val="0"/>
        <charset val="1"/>
      </rPr>
      <t xml:space="preserve">. </t>
    </r>
    <r>
      <rPr>
        <sz val="9"/>
        <rFont val="Noto Sans CJK SC"/>
        <family val="2"/>
      </rPr>
      <t xml:space="preserve">인공지능</t>
    </r>
    <r>
      <rPr>
        <sz val="9"/>
        <rFont val="Arial"/>
        <family val="0"/>
        <charset val="1"/>
      </rPr>
      <t xml:space="preserve">(AI) </t>
    </r>
    <r>
      <rPr>
        <sz val="9"/>
        <rFont val="Noto Sans CJK SC"/>
        <family val="2"/>
      </rPr>
      <t xml:space="preserve">데이터센터와 첨단 반도체 공장 등이 잇따라 들어서는 텍사스에서 전력 수요가 빠르게 증가하는 점도 긍정적이다</t>
    </r>
    <r>
      <rPr>
        <sz val="9"/>
        <rFont val="Arial"/>
        <family val="0"/>
        <charset val="1"/>
      </rPr>
      <t xml:space="preserve">. </t>
    </r>
    <r>
      <rPr>
        <sz val="9"/>
        <rFont val="Noto Sans CJK SC"/>
        <family val="2"/>
      </rPr>
      <t xml:space="preserve">총사업비 </t>
    </r>
    <r>
      <rPr>
        <sz val="9"/>
        <rFont val="Arial"/>
        <family val="0"/>
        <charset val="1"/>
      </rPr>
      <t xml:space="preserve">223</t>
    </r>
    <r>
      <rPr>
        <sz val="9"/>
        <rFont val="Noto Sans CJK SC"/>
        <family val="2"/>
      </rPr>
      <t xml:space="preserve">억달러를 투입해 </t>
    </r>
    <r>
      <rPr>
        <sz val="9"/>
        <rFont val="Arial"/>
        <family val="0"/>
        <charset val="1"/>
      </rPr>
      <t xml:space="preserve">20</t>
    </r>
    <r>
      <rPr>
        <sz val="9"/>
        <rFont val="Noto Sans CJK SC"/>
        <family val="2"/>
      </rPr>
      <t xml:space="preserve">년간 </t>
    </r>
    <r>
      <rPr>
        <sz val="9"/>
        <rFont val="Arial"/>
        <family val="0"/>
        <charset val="1"/>
      </rPr>
      <t xml:space="preserve">432</t>
    </r>
    <r>
      <rPr>
        <sz val="9"/>
        <rFont val="Noto Sans CJK SC"/>
        <family val="2"/>
      </rPr>
      <t xml:space="preserve">억</t>
    </r>
    <r>
      <rPr>
        <sz val="9"/>
        <rFont val="Arial"/>
        <family val="0"/>
        <charset val="1"/>
      </rPr>
      <t xml:space="preserve">9000</t>
    </r>
    <r>
      <rPr>
        <sz val="9"/>
        <rFont val="Noto Sans CJK SC"/>
        <family val="2"/>
      </rPr>
      <t xml:space="preserve">만</t>
    </r>
    <r>
      <rPr>
        <sz val="9"/>
        <rFont val="Arial"/>
        <family val="0"/>
        <charset val="1"/>
      </rPr>
      <t xml:space="preserve">~454</t>
    </r>
    <r>
      <rPr>
        <sz val="9"/>
        <rFont val="Noto Sans CJK SC"/>
        <family val="2"/>
      </rPr>
      <t xml:space="preserve">억</t>
    </r>
    <r>
      <rPr>
        <sz val="9"/>
        <rFont val="Arial"/>
        <family val="0"/>
        <charset val="1"/>
      </rPr>
      <t xml:space="preserve">300</t>
    </r>
    <r>
      <rPr>
        <sz val="9"/>
        <rFont val="Noto Sans CJK SC"/>
        <family val="2"/>
      </rPr>
      <t xml:space="preserve">만달러의 수입을 거둘 수 있어 원리금 회수가 가능하다는 게 정부의 분석이다</t>
    </r>
    <r>
      <rPr>
        <sz val="9"/>
        <rFont val="Arial"/>
        <family val="0"/>
        <charset val="1"/>
      </rPr>
      <t xml:space="preserve">. </t>
    </r>
    <r>
      <rPr>
        <sz val="9"/>
        <rFont val="Noto Sans CJK SC"/>
        <family val="2"/>
      </rPr>
      <t xml:space="preserve">처음부터 </t>
    </r>
    <r>
      <rPr>
        <sz val="9"/>
        <rFont val="Arial"/>
        <family val="0"/>
        <charset val="1"/>
      </rPr>
      <t xml:space="preserve">6.3GW</t>
    </r>
    <r>
      <rPr>
        <sz val="9"/>
        <rFont val="Noto Sans CJK SC"/>
        <family val="2"/>
      </rPr>
      <t xml:space="preserve">를 한꺼번에 짓지 않고 </t>
    </r>
    <r>
      <rPr>
        <sz val="9"/>
        <rFont val="Arial"/>
        <family val="0"/>
        <charset val="1"/>
      </rPr>
      <t xml:space="preserve">1.4GW</t>
    </r>
    <r>
      <rPr>
        <sz val="9"/>
        <rFont val="Noto Sans CJK SC"/>
        <family val="2"/>
      </rPr>
      <t xml:space="preserve">부터 시작해 실제 수요와 경제성을 확인하며 단계적으로 증설하는 방식도 위험을 낮추는 안전장치가 될 수 있다</t>
    </r>
    <r>
      <rPr>
        <sz val="9"/>
        <rFont val="Arial"/>
        <family val="0"/>
        <charset val="1"/>
      </rPr>
      <t xml:space="preserve">.</t>
    </r>
  </si>
  <si>
    <t xml:space="preserve">2026-09-25</t>
  </si>
  <si>
    <t xml:space="preserve">Tajni transfer više nije tajan: Seul zamjerio Zelenskom kršenje dogovora | advance.hr</t>
  </si>
  <si>
    <t xml:space="preserve">Piše
  advance.hr</t>
  </si>
  <si>
    <t xml:space="preserve">Južnokorejski predsjednik Lee Jae-myung izrazio je nezadovoljstvo Volodimirom Zelenskim nakon što je ukrajinski predsjednik pred Općom skupštinom UN-a objavio da su dvojica sjevernokorejskih ratnih zarobljenika prebačena u Južnu Koreju. Lee tvrdi da su se Seul i Kijev dogovorili kako će transfer ostati tajan te je ukrajinsko kršenje dogovora nazvao "vrlo razočaravajućim" .</t>
  </si>
  <si>
    <t xml:space="preserve">2026-09-17</t>
  </si>
  <si>
    <t xml:space="preserve">North Korea launches missile salvo after US-South Korea-Japan drills | South China Morning Post</t>
  </si>
  <si>
    <t xml:space="preserve">The ballistic missiles, which flew about 250km, were fired despite Donald Trump’s recent push for talks with Kim Jong-un</t>
  </si>
  <si>
    <t xml:space="preserve">The missiles were launched at around 5.20am and flew about 250 km (155 miles), the JCS said in a statement, ‌adding that South Korean and US authorities were conducting a detailed analysis of their specifications.</t>
  </si>
  <si>
    <t xml:space="preserve">Trump s pompou přijal prezidenta Číny: Honosná státní večeře! Na řadě je Putin? | Blesk.cz</t>
  </si>
  <si>
    <t xml:space="preserve">Nejmocnější muž světa si zve další lídry supervelmocí. Ve čtvrtek hostil s velkou slávou čínského prezidenta, pozvání na prosinec teď dostal i ten ruský. Ten však zatím dává přednost jiné společnosti…</t>
  </si>
  <si>
    <t xml:space="preserve">Červený koberec, armádní uvítání s vojenskou kapelou, dělostřeleckou salvou a přeletem burácivých bombardérů B-1 – dohromady 479 mužů a žen v uniformách – či galavečeře s nejbohatšími muži světa jako Elon Musk a Jeff Bezos . Takové přivítání přichystal Donald Trump s Melanií po boku pro Si Ťin-pchinga a jeho první dámu Pcheng Li-jüan , jak vypočetl web rádia NPR . A to na oplátku za svou návštěvu Pekingu v polovině května.</t>
  </si>
  <si>
    <t xml:space="preserve">N. Korea launches 2 missiles toward sea | Northwest Arkansas Democrat-Gazette</t>
  </si>
  <si>
    <t xml:space="preserve">SEOUL, South Korea -- North Korea launched two short-range ballistic missiles toward the sea on Sunday, South Korea's military said, days after the North threatened to bolster its nuclear deterrent capabilities and respond to what it called U.S. hostilities.</t>
  </si>
  <si>
    <t xml:space="preserve">The launches were the latest in a series of weapons demonstrations by North Korea even after U.S. President Donald Trump scaled back a joint military exercise with South Korea last month in an apparent effort to revive diplomacy with the North's leader, Kim Jong Un.</t>
  </si>
  <si>
    <t xml:space="preserve">2026-10-06</t>
  </si>
  <si>
    <t xml:space="preserve">Южна Корея е доставила над 176 хил. тона гориво на Русия с танкери, част от които са под санкции ᐉ Новини от Fakti.bg - Свят | ФАКТИ.БГ</t>
  </si>
  <si>
    <t xml:space="preserve">6 Октомври, 2026 16:34, обновена 6 Октомври, 2026 16:32 1 605 22</t>
  </si>
  <si>
    <t xml:space="preserve">Южна Корея е доставила гориво на Русия с танкери, три от които са под санкции на Великобритания и Европейския съюз. Това се случва на фона на опитите на Москва да компенсира недостига на горива, причинен от прекъсвания в работата на нефтопреработвателните заводи, съобщава „Гардиън“, позовавайки се на анализ на пристанищни регистри и данни за проследяване на кораби, предава Фокус.</t>
  </si>
  <si>
    <t xml:space="preserve">2026-09-19</t>
  </si>
  <si>
    <t xml:space="preserve">South Korea, US discuss Seoul’s role in Middle East and investment pact | The Straits Times</t>
  </si>
  <si>
    <t xml:space="preserve">Sign up now: Get ST's newsletters delivered to your inbox</t>
  </si>
  <si>
    <t xml:space="preserve">US Secretary of State Marco Rubio (left) and South Korean Foreign Minister Cho Hyun during a trilateral meeting on the sidelines of the NATO leaders’ summit in Ankara on July 7.</t>
  </si>
  <si>
    <t xml:space="preserve">PM Han, AmCham seek deeper Korea-US investment ties - The Korea Herald</t>
  </si>
  <si>
    <t xml:space="preserve">2026-10-12</t>
  </si>
  <si>
    <t xml:space="preserve">North Korea fires multiple ballistic missiles, fourth test in a month | NK News</t>
  </si>
  <si>
    <t xml:space="preserve">Get behind the headlines</t>
  </si>
  <si>
    <t xml:space="preserve">North Korea fired multiple suspected ballistic missiles on Monday morning, according to Japanese and South Korean military authorities, the country’s fourth apparent missile test in the last month .</t>
  </si>
  <si>
    <t xml:space="preserve">2026-10-16</t>
  </si>
  <si>
    <r>
      <rPr>
        <sz val="9"/>
        <rFont val="Arial"/>
        <family val="0"/>
        <charset val="1"/>
      </rPr>
      <t xml:space="preserve">"</t>
    </r>
    <r>
      <rPr>
        <sz val="9"/>
        <rFont val="Noto Sans CJK SC"/>
        <family val="2"/>
      </rPr>
      <t xml:space="preserve">일본서 보던 옷이 여기 있네</t>
    </r>
    <r>
      <rPr>
        <sz val="9"/>
        <rFont val="Arial"/>
        <family val="0"/>
        <charset val="1"/>
      </rPr>
      <t xml:space="preserve">"…</t>
    </r>
    <r>
      <rPr>
        <sz val="9"/>
        <rFont val="Noto Sans CJK SC"/>
        <family val="2"/>
      </rPr>
      <t xml:space="preserve">무신사 성수에 온 </t>
    </r>
    <r>
      <rPr>
        <sz val="9"/>
        <rFont val="Arial"/>
        <family val="0"/>
        <charset val="1"/>
      </rPr>
      <t xml:space="preserve">'</t>
    </r>
    <r>
      <rPr>
        <sz val="9"/>
        <rFont val="Noto Sans CJK SC"/>
        <family val="2"/>
      </rPr>
      <t xml:space="preserve">조조타운</t>
    </r>
    <r>
      <rPr>
        <sz val="9"/>
        <rFont val="Arial"/>
        <family val="0"/>
        <charset val="1"/>
      </rPr>
      <t xml:space="preserve">' [</t>
    </r>
    <r>
      <rPr>
        <sz val="9"/>
        <rFont val="Noto Sans CJK SC"/>
        <family val="2"/>
      </rPr>
      <t xml:space="preserve">현장</t>
    </r>
    <r>
      <rPr>
        <sz val="9"/>
        <rFont val="Arial"/>
        <family val="0"/>
        <charset val="1"/>
      </rPr>
      <t xml:space="preserve">]</t>
    </r>
  </si>
  <si>
    <r>
      <rPr>
        <sz val="9"/>
        <rFont val="Arial"/>
        <family val="0"/>
        <charset val="1"/>
      </rPr>
      <t xml:space="preserve">[</t>
    </r>
    <r>
      <rPr>
        <sz val="9"/>
        <rFont val="Noto Sans CJK SC"/>
        <family val="2"/>
      </rPr>
      <t xml:space="preserve">아이뉴스</t>
    </r>
    <r>
      <rPr>
        <sz val="9"/>
        <rFont val="Arial"/>
        <family val="0"/>
        <charset val="1"/>
      </rPr>
      <t xml:space="preserve">24 </t>
    </r>
    <r>
      <rPr>
        <sz val="9"/>
        <rFont val="Noto Sans CJK SC"/>
        <family val="2"/>
      </rPr>
      <t xml:space="preserve">구서윤 기자</t>
    </r>
    <r>
      <rPr>
        <sz val="9"/>
        <rFont val="Arial"/>
        <family val="0"/>
        <charset val="1"/>
      </rPr>
      <t xml:space="preserve">] </t>
    </r>
    <r>
      <rPr>
        <sz val="9"/>
        <rFont val="Noto Sans CJK SC"/>
        <family val="2"/>
      </rPr>
      <t xml:space="preserve">서울 성수동 무신사 스토어 성수에 들어서자 레이스와 리본으로 장식한 원피스부터 넉넉한 실루엣의 캐주얼웨어까지 일본 패션 브랜드의 옷들이 눈앞에 펼쳐졌다</t>
    </r>
    <r>
      <rPr>
        <sz val="9"/>
        <rFont val="Arial"/>
        <family val="0"/>
        <charset val="1"/>
      </rPr>
      <t xml:space="preserve">.</t>
    </r>
  </si>
  <si>
    <r>
      <rPr>
        <sz val="9"/>
        <rFont val="Noto Sans CJK SC"/>
        <family val="2"/>
      </rPr>
      <t xml:space="preserve">옷걸이마다 브랜드 특유의 색깔이 묻어났다</t>
    </r>
    <r>
      <rPr>
        <sz val="9"/>
        <rFont val="Arial"/>
        <family val="0"/>
        <charset val="1"/>
      </rPr>
      <t xml:space="preserve">. </t>
    </r>
    <r>
      <rPr>
        <sz val="9"/>
        <rFont val="Noto Sans CJK SC"/>
        <family val="2"/>
      </rPr>
      <t xml:space="preserve">국내 매장에서는 보기 드문 일본어 상품 설명과 엔화 가격표도 그대로 달려 있었다</t>
    </r>
    <r>
      <rPr>
        <sz val="9"/>
        <rFont val="Arial"/>
        <family val="0"/>
        <charset val="1"/>
      </rPr>
      <t xml:space="preserve">. </t>
    </r>
    <r>
      <rPr>
        <sz val="9"/>
        <rFont val="Noto Sans CJK SC"/>
        <family val="2"/>
      </rPr>
      <t xml:space="preserve">일본 여행 중 찾아가던 브랜드를 서울에서 직접 살펴보고 입어볼 수 있는 공간이었다</t>
    </r>
    <r>
      <rPr>
        <sz val="9"/>
        <rFont val="Arial"/>
        <family val="0"/>
        <charset val="1"/>
      </rPr>
      <t xml:space="preserve">.</t>
    </r>
  </si>
  <si>
    <t xml:space="preserve">South Korea, US aligned on North Korea policy, denuclearisation of  Korean Peninsula: FM Cho</t>
  </si>
  <si>
    <t xml:space="preserve">Seoul, Oct 6 : South Korean Foreign Minister Cho Hyun said Tuesday that South Korea and the United States are aligned in their North Korea policy and remain committed to the goal of denuclearising the Korean Peninsula.</t>
  </si>
  <si>
    <t xml:space="preserve">"Through multiple summit meetings, South Korea and the US have confirmed their aligned policy stance toward North Korea and their commitment to coordination," Cho said during a parliamentary audit of the foreign ministry.</t>
  </si>
  <si>
    <t xml:space="preserve">2026-09-30</t>
  </si>
  <si>
    <t xml:space="preserve">‘Kim Jong Un a friend’: Trump's reasoning on why North Korea can have nuclear weapons but Iran cannot | World News</t>
  </si>
  <si>
    <t xml:space="preserve">US President Donald Trump has once again spotlighted his close relationship with North Korean leader Kim Jong Un. Trump made the remarks on Tuesday while answering a question about why North Korea could possess nuclear weapons while Iran was being prevented from acquiring them.</t>
  </si>
  <si>
    <t xml:space="preserve">“He happens to be a friend of mine. Kim Jong Un is a friend of mine,” the US President said. “He likes Trump…I’m about the only person in the entire world that he likes, and I like him. As long as I'm around, he's going to be fine. You know why? Because he respects me and he likes me.”</t>
  </si>
  <si>
    <t xml:space="preserve">FACT FOCUS: Trump says tariffs have brought more US auto factories. His numbers are off. | Business | dailygazette.com</t>
  </si>
  <si>
    <t xml:space="preserve">FILE - Cars are pictured on the assembly line at the BMW Spartanburg plant in Greer, S.C., October 19, 2022.</t>
  </si>
  <si>
    <t xml:space="preserve">DETROIT (AP) — As President Donald Trump travels the country to rally support for Republican candidates ahead of the midterm elections, he is touting his economic agenda and crediting GOP-backed tariffs with industry growth — including what he says are more vehicle manufacturing plants all over the country.</t>
  </si>
  <si>
    <t xml:space="preserve">De la autonomía en defensa a la cooperación industrial: la experiencia surcoreana y las nuevas posibilidades para América Latina</t>
  </si>
  <si>
    <t xml:space="preserve">El pasado mes de julio, el presidente Lee Jae Myung visitó sucesivamente Brasil , Chile y Argentina . En particular, la visita a Chile fue la primera visita oficial de un presidente surcoreano en 11 años, y ambos países acordaron ampliar la cooperación no solo en minerales críticos, energía, comercio e inversión, sino también en seguridad pública, defensa, infraestructura y asuntos marítimos. En este contexto, no basta con interpretar la cooperación en defensa entre Corea del Sur y América Latina únicamente como la aparición de un nuevo proveedor de sistemas de armas. Para comprender la industria de defensa surcoreana, conviene partir de una pregunta: ¿Por qué Corea del Sur comenzó a construir una industria de defensa propia? Esta pregunta guarda ciertos puntos de contacto con las preocupaciones actuales de Chile y de algunos países latinoamericanos que buscan reforzar simultáneamente sus capacidades de defensa, su base industrial y su autonomía tecnológica. Este artículo es la primera entrega de una serie destinada a presentar la industria de defensa surcoreana a los lectores de Infodefensa. En ella se examinará cómo Corea del Sur fue construyendo sus capacidades nacionales de defensa y qué orientaciones de cooperación internacional están emergiendo hoy tanto en los sistemas terrestres como en los nuevos ámbitos de seguridad. Una industria nacida de la necesidad Uno de los principales puntos de inflexión en el desarrollo de la industria de defensa surcoreana fue la doctrina Nixon de 1969. La reducción de las fuerzas estadounidenses en Corea asociada a aquella doctrina fue uno de los factores que impulsaron a Corea del Sur a reforzar de forma más sistemática su capacidad de defensa autónoma, un proceso que posteriormente se concretó en programas de modernización de las Fuerzas Armadas . La cuestión que afrontaba entonces Corea del Sur era clara. ¿Qué capacidades debía ser capaz de asegurar por sí misma, aun manteniendo su alianza? Por ello, la autonomía en defensa surcoreana se desarrolló como un proceso de ampliación de las responsabilidades y capacidades propias, manteniendo al mismo tiempo la alianza y la cooperación internacional. A partir de entonces, Corea del Sur continuó desarrollando su base industrial de defensa en paralelo con la modernización de sus fuerzas armadas. Esa acumulación de capacidades a lo largo de varias décadas condujo al desarrollo y a la proyección internacional de sistemas terrestres como el obús autopropulsado K9 , el carro de combate K2 y vehículos blindados como Tigon y Redback . K2 y K9: de la exportación a la cooperación industrial Uno de los casos más destacados de la expansión internacional de los sistemas terrestres surcoreanos es Polonia . En 2022, Corea del Sur y Polonia suscribieron acuerdos de cooperación en defensa que incluían, entre otros sistemas, carros de combate K2 y obuses autopropulsados K9. En acuerdos posteriores sobre el K2 se incorporaron planes para desarrollar la versión K2PL adaptada a las necesidades de las Fuerzas Armadas polacas y para ensamblar y producir localmente una parte significativa de los vehículos mediante la cooperación entre empresas de defensa surcoreanas y polacas. Esto muestra una ampliación del modelo de cooperación: desde la exportación tradicional de sistemas terminados hacia esquemas que incorporan una mayor participación de la industria local. La cooperación internacional vinculada al K9 también se ha ampliado. Hanwha Aerospace suministra este sistema a varios países de la OTAN , entre ellos Finlandia y Rumanía , y en febrero de 2026 inició en Rumanía la construcción de una instalación para la producción local del K9. Sin embargo, lo más relevante de estos casos es cómo combinar la adquisición de sistemas de armas con la participación de la industria local, la producción y el desarrollo de capacidades de apoyo logístico a largo plazo. Se trata también de una cuestión de política industrial para los países que buscan modernizar sus fuerzas armadas sin renunciar al mantenimiento o al desarrollo de su propia base industrial de defensa. Fidae 2026 y Tigon Este cambio también puede observarse en América Latina. Fidae 2026 , celebrada en Santiago de Chile en abril, reunió a 451 empresas de 35 países y se consolidó como una de las principales ferias latinoamericanas de los sectores aeroespacial, defensa y seguridad. En la feria, Hanwha presentó el obús autopropulsado K9, el sistema de lanzacohetes múltiple Chunmoo y el vehículo Tigon MCV . La información oficial de Fidae presentó al Tigon como un vehículo blindado multipropósito capaz de integrar diferentes sistemas de armas en función de los requisitos de misión. No obstante, más interesante que la propia plataforma Tigon fue la modalidad de cooperación entre una empresa surcoreana y una empresa española anunciada durante Fidae. Hanwha Aerospace e Indra Group firmaron en Fidae 2026 un memorando de entendimiento para proponer una solución conjunta al futuro programa de vehículos blindados del Ejército de Chile y ampliar posteriormente la cooperación hacia otros proyectos terrestres en América Latina. De acuerdo con la estructura de cooperación anunciada, Hanwha aporta la plataforma blindada Tigon, mientras que Indra aporta el Mission System Equipment que incluye capacidades de conectividad, conciencia situacional y C2 . Este caso demuestra que la cooperación en defensa entre Corea del Sur, España y América Latina no tiene por qué limitarse a un modelo en el que un país suministra un sistema terminado a otro. También es posible combinar una plataforma surcoreana con tecnologías españolas de sistemas de misión y adaptarlas a los requisitos operativos de Chile y de otros países latinoamericanos. La pregunta que plantea Chile La relevancia de este tipo de cooperación industrial también puede entenderse a partir de la propia política de defensa chilena. En documentos oficiales de 2026, el Ministerio de Defensa Nacional de Chile vinculó la defensa con la base productiva y tecnológica del país y planteó el fortalecimiento de la autonomía, la soberanía tecnológica y las capacidades polivalentes. Durante la inauguración de Fidae 2026, el Ministerio de Defensa chileno también destacó el fortalecimiento de la industria nacional de defensa y el desarrollo de capacidades espaciales propias, vinculando tecnología y soberanía. Esto no significa necesariamente que todos los sistemas de armas deban producirse de forma autónoma dentro del país. La cuestión se acerca más a cómo utilizar la cooperación internacional y, al mismo tiempo, asegurar las tecnologías esenciales y las capacidades propias de operación, mantenimiento y sostenimiento. La pregunta a la que Corea del Sur se enfrentó en el pasado presentaba ciertos elementos similares: no solo cómo adquirir los sistemas necesarios, sino también cómo operarlos, mantenerlos y convertirlos gradualmente en capacidades acumuladas dentro del propio país. Naturalmente, la experiencia surcoreana no puede trasladarse de manera mecánica a Chile ni a otros países latinoamericanos. Sin embargo, existe una cuestión compartida: encontrar un equilibrio adecuado entre la cooperación internacional y el fortalecimiento de las capacidades nacionales. Una nueva concepción de la autonomía en defensa Hoy el alcance de esta cuestión es mucho mayor. Si en la Corea del Sur de los años setenta uno de los principales objetivos de la autonomía en defensa era desarrollar fuerzas convencionales y establecer una base nacional para producir el equipo necesario, el entorno de seguridad actual exige algo más. Drones y sistemas no tripulados, ciberataques, guerra electrónica, amenazas contra las redes de comunicaciones y los datos, vulnerabilidades de los activos espaciales y crimen organizado transnacional están ampliando rápidamente el espectro de riesgos de seguridad. Estos cambios están ampliando también el propio concepto de capacidad de defensa. Ya no importa únicamente el rendimiento de plataformas tradicionales como carros de combate, vehículos blindados u obuses autopropulsados. Cada vez resulta más importante la capacidad de integrarlas eficazmente con C4I , inteligencia, vigilancia y reconocimiento, guerra electrónica, sistemas antidrones, ciberdefensa y redes de datos. Nuevas capacidades para América Latina Esta cuestión también es relevante para América Latina. No puede afirmarse que todos los países latinoamericanos sigan una misma política de seguridad. Sin embargo, las tendencias observadas en Fidae y en la reciente política de defensa chilena muestran una creciente atención no solo a las capacidades militares tradicionales, sino también al espacio, la ciberseguridad, los sistemas no tripulados, la defensa aérea y los radares. Por ello, la futura cooperación entre Corea del Sur y América Latina tampoco tiene por qué limitarse a plataformas terrestres tradicionales como el K9 o el Tigon. Existen posibilidades de ampliar la cooperación hacia ámbitos como C4I, inteligencia, vigilancia y reconocimiento, sistemas antidrones, guerra electrónica, ciberdefensa y procesamiento de información basado en inteligencia artificial. Más importante que el producto es la forma de cooperar Las condiciones históricas de Corea del Sur son diferentes de las de otros países y la trayectoria de su industria de defensa tampoco constituye un modelo universal que pueda reproducirse en cualquier lugar. No obstante, la experiencia de un país que partió de una fuerte dependencia del equipamiento y de la tecnología del exterior y que gradualmente amplió su propia base industrial de defensa y sus capacidades de desarrollo puede ofrecer un punto de referencia para países que buscan abordar simultáneamente la modernización militar y el fortalecimiento industrial. La estructura debe adaptarse a la base industrial, los requerimientos operativos, el nivel tecnológico y los objetivos de política pública de cada socio. De una preocupación común a la cooperación Lo que Corea del Sur puede compartir con los responsables de defensa y de industria de América Latina no se limita a determinados sistemas de armas. Tras la doctrina Nixon, Corea del Sur se enfrentó a una pregunta fundamental: ¿Cómo reforzar sus propias capacidades de defensa manteniendo al mismo tiempo la alianza y la cooperación internacional? Hoy el alcance de esa pregunta es todavía mayor. En un entorno en el que los Estados deben responder tanto a amenazas militares tradicionales como a riesgos cibernéticos, sistemas no tripulados, guerra electrónica y amenazas contra las cadenas de suministro y las infraestructuras críticas, el reto consiste en asegurar de manera sostenible las capacidades nacionales necesarias. En el proceso por el cual Chile y otros países latinoamericanos buscan respuestas adaptadas a sus propias circunstancias, Corea del Sur puede ser uno de sus socios de cooperación. La posibilidad de avanzar más allá de una relación Buyer-Seller hacia una Industrial and Security Partnership comienza precisamente aquí. Sobre el autor Hwang Jung-han es asesor de la Asociación Corea-América Latina y autor de «¿Por qué Chile ahora?», el primer libro coreano en presentar de manera integral la política, la economía, la sociedad y la cultura de Chile. Se desempeñó como ministro consejero y cónsul general en la Embajada de la República de Corea en Chile.</t>
  </si>
  <si>
    <t xml:space="preserve">El pasado mes de julio, el presidente Lee Jae Myung visitó sucesivamente Brasil , Chile y Argentina . En particular, la visita a Chile fue la primera visita oficial de un presidente surcoreano en 11 años, y ambos países acordaron ampliar la cooperación no solo en minerales críticos, energía, comercio e inversión, sino también en seguridad pública, defensa, infraestructura y asuntos marítimos.</t>
  </si>
  <si>
    <t xml:space="preserve">2026-10-05</t>
  </si>
  <si>
    <r>
      <rPr>
        <sz val="9"/>
        <rFont val="Noto Sans CJK SC"/>
        <family val="2"/>
      </rPr>
      <t xml:space="preserve">북한의 눈치를 보는 게 그렇게 큰 문제일까 </t>
    </r>
    <r>
      <rPr>
        <sz val="9"/>
        <rFont val="Arial"/>
        <family val="0"/>
        <charset val="1"/>
      </rPr>
      <t xml:space="preserve">- </t>
    </r>
    <r>
      <rPr>
        <sz val="9"/>
        <rFont val="Noto Sans CJK SC"/>
        <family val="2"/>
      </rPr>
      <t xml:space="preserve">오마이뉴스</t>
    </r>
  </si>
  <si>
    <t xml:space="preserve">2026-10-14</t>
  </si>
  <si>
    <r>
      <rPr>
        <sz val="9"/>
        <rFont val="Noto Sans CJK SC"/>
        <family val="2"/>
      </rPr>
      <t xml:space="preserve">국익</t>
    </r>
    <r>
      <rPr>
        <sz val="9"/>
        <rFont val="Arial"/>
        <family val="0"/>
        <charset val="1"/>
      </rPr>
      <t xml:space="preserve">·</t>
    </r>
    <r>
      <rPr>
        <sz val="9"/>
        <rFont val="Noto Sans CJK SC"/>
        <family val="2"/>
      </rPr>
      <t xml:space="preserve">안보 중시를 事大 폄훼하고 北엔 굴종하는 李정부</t>
    </r>
    <r>
      <rPr>
        <sz val="9"/>
        <rFont val="Arial"/>
        <family val="0"/>
        <charset val="1"/>
      </rPr>
      <t xml:space="preserve">[</t>
    </r>
    <r>
      <rPr>
        <sz val="9"/>
        <rFont val="Noto Sans CJK SC"/>
        <family val="2"/>
      </rPr>
      <t xml:space="preserve">사설</t>
    </r>
    <r>
      <rPr>
        <sz val="9"/>
        <rFont val="Arial"/>
        <family val="0"/>
        <charset val="1"/>
      </rPr>
      <t xml:space="preserve">] | </t>
    </r>
    <r>
      <rPr>
        <sz val="9"/>
        <rFont val="Noto Sans CJK SC"/>
        <family val="2"/>
      </rPr>
      <t xml:space="preserve">문화일보</t>
    </r>
  </si>
  <si>
    <r>
      <rPr>
        <sz val="9"/>
        <rFont val="Noto Sans CJK SC"/>
        <family val="2"/>
      </rPr>
      <t xml:space="preserve">이재명 대통령이 </t>
    </r>
    <r>
      <rPr>
        <sz val="9"/>
        <rFont val="Arial"/>
        <family val="0"/>
        <charset val="1"/>
      </rPr>
      <t xml:space="preserve">13</t>
    </r>
    <r>
      <rPr>
        <sz val="9"/>
        <rFont val="Noto Sans CJK SC"/>
        <family val="2"/>
      </rPr>
      <t xml:space="preserve">일 국무회의에서 “대한민국의 국익이 지켜지는 외교”를 강조하며 “국가 관계에 있어 굴종적 태도나 사대적 태도를 지양해야 한다”고 했다</t>
    </r>
    <r>
      <rPr>
        <sz val="9"/>
        <rFont val="Arial"/>
        <family val="0"/>
        <charset val="1"/>
      </rPr>
      <t xml:space="preserve">. </t>
    </r>
    <r>
      <rPr>
        <sz val="9"/>
        <rFont val="Noto Sans CJK SC"/>
        <family val="2"/>
      </rPr>
      <t xml:space="preserve">누가 어떤 굴종적</t>
    </r>
    <r>
      <rPr>
        <sz val="9"/>
        <rFont val="Arial"/>
        <family val="0"/>
        <charset val="1"/>
      </rPr>
      <t xml:space="preserve">·</t>
    </r>
    <r>
      <rPr>
        <sz val="9"/>
        <rFont val="Noto Sans CJK SC"/>
        <family val="2"/>
      </rPr>
      <t xml:space="preserve">사대적 태도를 취하고 있다고 생각하는지 구체적으로 지칭하진 않았지만</t>
    </r>
    <r>
      <rPr>
        <sz val="9"/>
        <rFont val="Arial"/>
        <family val="0"/>
        <charset val="1"/>
      </rPr>
      <t xml:space="preserve">, </t>
    </r>
    <r>
      <rPr>
        <sz val="9"/>
        <rFont val="Noto Sans CJK SC"/>
        <family val="2"/>
      </rPr>
      <t xml:space="preserve">가깝게는 최근 한미동맹 불안 문제와 관련해 정동영</t>
    </r>
    <r>
      <rPr>
        <sz val="9"/>
        <rFont val="Arial"/>
        <family val="0"/>
        <charset val="1"/>
      </rPr>
      <t xml:space="preserve">·</t>
    </r>
    <r>
      <rPr>
        <sz val="9"/>
        <rFont val="Noto Sans CJK SC"/>
        <family val="2"/>
      </rPr>
      <t xml:space="preserve">이종석 퇴진을 포함해 미국 측과 갈등 요인을 없애라는 요구 등을 겨냥한 것으로 해석된다</t>
    </r>
    <r>
      <rPr>
        <sz val="9"/>
        <rFont val="Arial"/>
        <family val="0"/>
        <charset val="1"/>
      </rPr>
      <t xml:space="preserve">. </t>
    </r>
    <r>
      <rPr>
        <sz val="9"/>
        <rFont val="Noto Sans CJK SC"/>
        <family val="2"/>
      </rPr>
      <t xml:space="preserve">더 멀리는</t>
    </r>
    <r>
      <rPr>
        <sz val="9"/>
        <rFont val="Arial"/>
        <family val="0"/>
        <charset val="1"/>
      </rPr>
      <t xml:space="preserve">, </t>
    </r>
    <r>
      <rPr>
        <sz val="9"/>
        <rFont val="Noto Sans CJK SC"/>
        <family val="2"/>
      </rPr>
      <t xml:space="preserve">진보 진영에서 거론해온 이승만 대통령이 전시 작전통제권을 미국에 넘긴 것</t>
    </r>
    <r>
      <rPr>
        <sz val="9"/>
        <rFont val="Arial"/>
        <family val="0"/>
        <charset val="1"/>
      </rPr>
      <t xml:space="preserve">, </t>
    </r>
    <r>
      <rPr>
        <sz val="9"/>
        <rFont val="Noto Sans CJK SC"/>
        <family val="2"/>
      </rPr>
      <t xml:space="preserve">박정희 대통령이 한일 수교를 결단한 것 등을 의식했을 수도 있을 것이다</t>
    </r>
    <r>
      <rPr>
        <sz val="9"/>
        <rFont val="Arial"/>
        <family val="0"/>
        <charset val="1"/>
      </rPr>
      <t xml:space="preserve">.</t>
    </r>
  </si>
  <si>
    <r>
      <rPr>
        <sz val="9"/>
        <rFont val="Noto Sans CJK SC"/>
        <family val="2"/>
      </rPr>
      <t xml:space="preserve">그러나 이 대통령의 굴종</t>
    </r>
    <r>
      <rPr>
        <sz val="9"/>
        <rFont val="Arial"/>
        <family val="0"/>
        <charset val="1"/>
      </rPr>
      <t xml:space="preserve">·</t>
    </r>
    <r>
      <rPr>
        <sz val="9"/>
        <rFont val="Noto Sans CJK SC"/>
        <family val="2"/>
      </rPr>
      <t xml:space="preserve">사대는 궤변에 가깝다</t>
    </r>
    <r>
      <rPr>
        <sz val="9"/>
        <rFont val="Arial"/>
        <family val="0"/>
        <charset val="1"/>
      </rPr>
      <t xml:space="preserve">. </t>
    </r>
    <r>
      <rPr>
        <sz val="9"/>
        <rFont val="Noto Sans CJK SC"/>
        <family val="2"/>
      </rPr>
      <t xml:space="preserve">오히려 미국의 대북 정보 제한 조치 해소를 위한 인사 교체론이 제기되자 차단하려는 목적도 강해 보인다</t>
    </r>
    <r>
      <rPr>
        <sz val="9"/>
        <rFont val="Arial"/>
        <family val="0"/>
        <charset val="1"/>
      </rPr>
      <t xml:space="preserve">. </t>
    </r>
    <r>
      <rPr>
        <sz val="9"/>
        <rFont val="Noto Sans CJK SC"/>
        <family val="2"/>
      </rPr>
      <t xml:space="preserve">한미 연합 기밀 누출이 한미 갈등을 불렀다면 조사를 통해 정보 관리 실패 원인을 규명한 뒤 해법을 찾으면 된다</t>
    </r>
    <r>
      <rPr>
        <sz val="9"/>
        <rFont val="Arial"/>
        <family val="0"/>
        <charset val="1"/>
      </rPr>
      <t xml:space="preserve">. </t>
    </r>
    <r>
      <rPr>
        <sz val="9"/>
        <rFont val="Noto Sans CJK SC"/>
        <family val="2"/>
      </rPr>
      <t xml:space="preserve">그게 </t>
    </r>
    <r>
      <rPr>
        <sz val="9"/>
        <rFont val="Arial"/>
        <family val="0"/>
        <charset val="1"/>
      </rPr>
      <t xml:space="preserve">73</t>
    </r>
    <r>
      <rPr>
        <sz val="9"/>
        <rFont val="Noto Sans CJK SC"/>
        <family val="2"/>
      </rPr>
      <t xml:space="preserve">년 동맹의 기본이다</t>
    </r>
    <r>
      <rPr>
        <sz val="9"/>
        <rFont val="Arial"/>
        <family val="0"/>
        <charset val="1"/>
      </rPr>
      <t xml:space="preserve">. </t>
    </r>
    <r>
      <rPr>
        <sz val="9"/>
        <rFont val="Noto Sans CJK SC"/>
        <family val="2"/>
      </rPr>
      <t xml:space="preserve">백악관이 “동맹 기준 준수”를 언급한 것도 그런 의미다</t>
    </r>
    <r>
      <rPr>
        <sz val="9"/>
        <rFont val="Arial"/>
        <family val="0"/>
        <charset val="1"/>
      </rPr>
      <t xml:space="preserve">. </t>
    </r>
    <r>
      <rPr>
        <sz val="9"/>
        <rFont val="Noto Sans CJK SC"/>
        <family val="2"/>
      </rPr>
      <t xml:space="preserve">한미 갈등을 해소하고 협력 틀을 만드는 것을 사대로 폄훼하면 안 된다</t>
    </r>
    <r>
      <rPr>
        <sz val="9"/>
        <rFont val="Arial"/>
        <family val="0"/>
        <charset val="1"/>
      </rPr>
      <t xml:space="preserve">. </t>
    </r>
    <r>
      <rPr>
        <sz val="9"/>
        <rFont val="Noto Sans CJK SC"/>
        <family val="2"/>
      </rPr>
      <t xml:space="preserve">그런 게 국익 외교다</t>
    </r>
    <r>
      <rPr>
        <sz val="9"/>
        <rFont val="Arial"/>
        <family val="0"/>
        <charset val="1"/>
      </rPr>
      <t xml:space="preserve">.</t>
    </r>
  </si>
  <si>
    <t xml:space="preserve">[Deep dive] Lee’s core supporters can only take him so far</t>
  </si>
  <si>
    <t xml:space="preserve">The decline in President Lee Jae Myung’s approval rating appears to have stopped, at least for now.</t>
  </si>
  <si>
    <t xml:space="preserve">In a regular survey released on Sept. 30 by the Korea Society Opinion Institute, 38.5% of respondents gave Lee a positive job approval rating, while 57.8% gave him a negative rating. Two weeks earlier, the figures were 35.9% positive and 59.4% negative.</t>
  </si>
  <si>
    <t xml:space="preserve">Северна Корея изстреля две ракети, Южна Корея свика Съвета за нац...</t>
  </si>
  <si>
    <t xml:space="preserve">Редактор: Ивайло Александров</t>
  </si>
  <si>
    <t xml:space="preserve">Северна Корея е изстреляла балистична ракета с малък обсег, а по-късно и неидентифициран снаряд край източния си бряг в района на Вонсан, съобщава Reuters. Според японското министерство на отбраната, снарядът е паднал извън изключителната икономическа зона на Япония.</t>
  </si>
  <si>
    <t xml:space="preserve">2026-09-26</t>
  </si>
  <si>
    <r>
      <rPr>
        <sz val="9"/>
        <rFont val="Arial"/>
        <family val="0"/>
        <charset val="1"/>
      </rPr>
      <t xml:space="preserve">SF </t>
    </r>
    <r>
      <rPr>
        <sz val="9"/>
        <rFont val="Noto Sans CJK SC"/>
        <family val="2"/>
      </rPr>
      <t xml:space="preserve">한인회</t>
    </r>
    <r>
      <rPr>
        <sz val="9"/>
        <rFont val="Arial"/>
        <family val="0"/>
        <charset val="1"/>
      </rPr>
      <t xml:space="preserve">, </t>
    </r>
    <r>
      <rPr>
        <sz val="9"/>
        <rFont val="Noto Sans CJK SC"/>
        <family val="2"/>
      </rPr>
      <t xml:space="preserve">비슬 무용단 초청 문화 행사 </t>
    </r>
    <r>
      <rPr>
        <sz val="9"/>
        <rFont val="Arial"/>
        <family val="0"/>
        <charset val="1"/>
      </rPr>
      <t xml:space="preserve">- </t>
    </r>
    <r>
      <rPr>
        <sz val="9"/>
        <rFont val="Noto Sans CJK SC"/>
        <family val="2"/>
      </rPr>
      <t xml:space="preserve">미주 한국일보</t>
    </r>
  </si>
  <si>
    <r>
      <rPr>
        <sz val="9"/>
        <rFont val="Noto Sans CJK SC"/>
        <family val="2"/>
      </rPr>
      <t xml:space="preserve">판매세</t>
    </r>
    <r>
      <rPr>
        <sz val="9"/>
        <rFont val="Arial"/>
        <family val="0"/>
        <charset val="1"/>
      </rPr>
      <t xml:space="preserve">, </t>
    </r>
    <r>
      <rPr>
        <sz val="9"/>
        <rFont val="Noto Sans CJK SC"/>
        <family val="2"/>
      </rPr>
      <t xml:space="preserve">계속 올리는 것 능사 아니다</t>
    </r>
  </si>
  <si>
    <t xml:space="preserve">또 다시 맞이한 ‘기나 긴 황혼녘의 투쟁’</t>
  </si>
  <si>
    <t xml:space="preserve">North Korea warns of 'powerful counteraction' if South intrudes 'even a millimetre' into its territory</t>
  </si>
  <si>
    <t xml:space="preserve">Seoul, Oct 6 : North Korea on Tuesday warned of an "immediate and powerful counteraction" if South Korea intrudes even "a millimetre" into its territory, after Seoul signalled corresponding measures over a recent land mine blast at the inter-Korean border that it has blamed on Pyongyang.</t>
  </si>
  <si>
    <t xml:space="preserve">The North's foreign ministry issued the statement a day after the South's military concluded the mines planted by North Korea caused the September 21 blast on the southern side of the Demilitarised Zone (DMZ) that left two South Korean soldiers critically injured, Yonhap News Agency reported.</t>
  </si>
  <si>
    <t xml:space="preserve">3 Na Hong-Jin Movies You Must See As Hope Hits Cinemas</t>
  </si>
  <si>
    <t xml:space="preserve">While the much-anticipated release of Avengers: Endgame Encore may be hogging the headlines this week, there is another wildly entertaining, kind of unwieldy, ridiculously ambitious near-three-hour-long sci-fi blockbuster that's got us really excited right now: Na Hong-jin's gonzo creature feature Hope .</t>
  </si>
  <si>
    <t xml:space="preserve">Heavily reported on as the most expensive South Korean movie ever made, Director Na's latest — which sees two police officers in a small town near the demilitarised zone between North and South Korea find themselves under attack from a mysterious creature — hits UK cinemas this week amid major hype and the promise of an experience that demands to be seen on the biggest screen possible.</t>
  </si>
  <si>
    <t xml:space="preserve">2026-09-29</t>
  </si>
  <si>
    <t xml:space="preserve">Zelenskiy'den çarpıcı iddia: Rusya’ya 10 bin Kuzey Kore askeri daha geliyor | Türkiye Gazetesi</t>
  </si>
  <si>
    <t xml:space="preserve">Ukrayna Devlet Başkanı Zelenskiy sosyal medya hesabından paylaştığı videolu mesajda, Rusya saflarında savaşan Kuzey Kore askerlerine ilişkin açıklamalarda bulundu.</t>
  </si>
  <si>
    <t xml:space="preserve">Zelenskiy, "Bugün Ukrayna Savunma İstihbaratından Rusya'nın bundan sonra planladığı önlemlerle ilgili bir rapor aldım. Aslında Ruslar ek seferberliğe çoktan başladı, çeşitli yollarla askere aldıkları insan sayısını artırıyorlar. Ayrıca yabancıların işe alımını artırmayı planlıyorlar. Bu ülkelerin hükümetlerinin buna karşı önlem alması önemlidir. İlgili tüm hükümetleri bilgilendireceğiz" ifadelerini kullandı. Zelenskiy, "Kuzey Kore birliklerinin Rusya'ya konuşlandırılmasıyla ilgili yeni verilere sahibiz. Şu anda Rus topraklarında 8 binden fazla Kuzey Kore askeri bulunuyor. Ayrıca 10 bin askerin daha konuşlandırılması için hazırlıklar sürüyor, bu askerler eğitimden geçirilmek ve daha sonra Rusya'ya gönderilmek üzere seçiliyor" dedi.</t>
  </si>
  <si>
    <t xml:space="preserve">2026-09-28</t>
  </si>
  <si>
    <r>
      <rPr>
        <sz val="9"/>
        <rFont val="Noto Sans CJK SC"/>
        <family val="2"/>
      </rPr>
      <t xml:space="preserve">靑</t>
    </r>
    <r>
      <rPr>
        <sz val="9"/>
        <rFont val="Arial"/>
        <family val="0"/>
        <charset val="1"/>
      </rPr>
      <t xml:space="preserve">, </t>
    </r>
    <r>
      <rPr>
        <sz val="9"/>
        <rFont val="Noto Sans CJK SC"/>
        <family val="2"/>
      </rPr>
      <t xml:space="preserve">이례적 강경대응…“北 포로 韓행</t>
    </r>
    <r>
      <rPr>
        <sz val="9"/>
        <rFont val="Arial"/>
        <family val="0"/>
        <charset val="1"/>
      </rPr>
      <t xml:space="preserve">, </t>
    </r>
    <r>
      <rPr>
        <sz val="9"/>
        <rFont val="Noto Sans CJK SC"/>
        <family val="2"/>
      </rPr>
      <t xml:space="preserve">우크라가 먼저 비공개 요구” </t>
    </r>
    <r>
      <rPr>
        <sz val="9"/>
        <rFont val="Arial"/>
        <family val="0"/>
        <charset val="1"/>
      </rPr>
      <t xml:space="preserve">- </t>
    </r>
    <r>
      <rPr>
        <sz val="9"/>
        <rFont val="Noto Sans CJK SC"/>
        <family val="2"/>
      </rPr>
      <t xml:space="preserve">전자신문</t>
    </r>
  </si>
  <si>
    <r>
      <rPr>
        <sz val="9"/>
        <rFont val="Noto Sans CJK SC"/>
        <family val="2"/>
      </rPr>
      <t xml:space="preserve">청와대가 북한군 포로 </t>
    </r>
    <r>
      <rPr>
        <sz val="9"/>
        <rFont val="Arial"/>
        <family val="0"/>
        <charset val="1"/>
      </rPr>
      <t xml:space="preserve">2</t>
    </r>
    <r>
      <rPr>
        <sz val="9"/>
        <rFont val="Noto Sans CJK SC"/>
        <family val="2"/>
      </rPr>
      <t xml:space="preserve">명의 한국 송환 사실을 공개한 뒤 비공개 합의 자체를 부인한 우크라이나 정부에 공식 해명과 사과를 요구했다</t>
    </r>
    <r>
      <rPr>
        <sz val="9"/>
        <rFont val="Arial"/>
        <family val="0"/>
        <charset val="1"/>
      </rPr>
      <t xml:space="preserve">. </t>
    </r>
    <r>
      <rPr>
        <sz val="9"/>
        <rFont val="Noto Sans CJK SC"/>
        <family val="2"/>
      </rPr>
      <t xml:space="preserve">비공개는 당초 우크라이나 측의 요청이었다며 협상 경위를 공개하고 합의 부인이 양국 간 신뢰를 심각하게 훼손했다며 추가 조치 검토까지 예고했다</t>
    </r>
    <r>
      <rPr>
        <sz val="9"/>
        <rFont val="Arial"/>
        <family val="0"/>
        <charset val="1"/>
      </rPr>
      <t xml:space="preserve">. </t>
    </r>
    <r>
      <rPr>
        <sz val="9"/>
        <rFont val="Noto Sans CJK SC"/>
        <family val="2"/>
      </rPr>
      <t xml:space="preserve">국내에서 이재명 대통령의 거짓말 논란으로 번진 사안에 대해 우크라이나 측의 책임을 강조하며 강경 대응에 나선 셈이다</t>
    </r>
    <r>
      <rPr>
        <sz val="9"/>
        <rFont val="Arial"/>
        <family val="0"/>
        <charset val="1"/>
      </rPr>
      <t xml:space="preserve">. </t>
    </r>
    <r>
      <rPr>
        <sz val="9"/>
        <rFont val="Noto Sans CJK SC"/>
        <family val="2"/>
      </rPr>
      <t xml:space="preserve">성기홍 청와대 홍보소통수석은 </t>
    </r>
    <r>
      <rPr>
        <sz val="9"/>
        <rFont val="Arial"/>
        <family val="0"/>
        <charset val="1"/>
      </rPr>
      <t xml:space="preserve">27</t>
    </r>
    <r>
      <rPr>
        <sz val="9"/>
        <rFont val="Noto Sans CJK SC"/>
        <family val="2"/>
      </rPr>
      <t xml:space="preserve">일</t>
    </r>
    <r>
      <rPr>
        <sz val="9"/>
        <rFont val="Arial"/>
        <family val="0"/>
        <charset val="1"/>
      </rPr>
      <t xml:space="preserve">(</t>
    </r>
    <r>
      <rPr>
        <sz val="9"/>
        <rFont val="Noto Sans CJK SC"/>
        <family val="2"/>
      </rPr>
      <t xml:space="preserve">한국시간</t>
    </r>
    <r>
      <rPr>
        <sz val="9"/>
        <rFont val="Arial"/>
        <family val="0"/>
        <charset val="1"/>
      </rPr>
      <t xml:space="preserve">) </t>
    </r>
    <r>
      <rPr>
        <sz val="9"/>
        <rFont val="Noto Sans CJK SC"/>
        <family val="2"/>
      </rPr>
      <t xml:space="preserve">입장문을 통해 “ 우크라이나 정부 측의 합의에 위반한 일방적 공개와 이에 이은 비공개합의 사실이 없다는 허위 공보에 대해 강력한 유감을 표하며</t>
    </r>
    <r>
      <rPr>
        <sz val="9"/>
        <rFont val="Arial"/>
        <family val="0"/>
        <charset val="1"/>
      </rPr>
      <t xml:space="preserve">, </t>
    </r>
    <r>
      <rPr>
        <sz val="9"/>
        <rFont val="Noto Sans CJK SC"/>
        <family val="2"/>
      </rPr>
      <t xml:space="preserve">공식적인 해명과 사과를 요구한다”고 말했다</t>
    </r>
    <r>
      <rPr>
        <sz val="9"/>
        <rFont val="Arial"/>
        <family val="0"/>
        <charset val="1"/>
      </rPr>
      <t xml:space="preserve">. </t>
    </r>
    <r>
      <rPr>
        <sz val="9"/>
        <rFont val="Noto Sans CJK SC"/>
        <family val="2"/>
      </rPr>
      <t xml:space="preserve">앞서 볼로디미르 젤렌스키 우크라이나 대통령은 </t>
    </r>
    <r>
      <rPr>
        <sz val="9"/>
        <rFont val="Arial"/>
        <family val="0"/>
        <charset val="1"/>
      </rPr>
      <t xml:space="preserve">23</t>
    </r>
    <r>
      <rPr>
        <sz val="9"/>
        <rFont val="Noto Sans CJK SC"/>
        <family val="2"/>
      </rPr>
      <t xml:space="preserve">일</t>
    </r>
    <r>
      <rPr>
        <sz val="9"/>
        <rFont val="Arial"/>
        <family val="0"/>
        <charset val="1"/>
      </rPr>
      <t xml:space="preserve">(</t>
    </r>
    <r>
      <rPr>
        <sz val="9"/>
        <rFont val="Noto Sans CJK SC"/>
        <family val="2"/>
      </rPr>
      <t xml:space="preserve">현지시간</t>
    </r>
    <r>
      <rPr>
        <sz val="9"/>
        <rFont val="Arial"/>
        <family val="0"/>
        <charset val="1"/>
      </rPr>
      <t xml:space="preserve">) </t>
    </r>
    <r>
      <rPr>
        <sz val="9"/>
        <rFont val="Noto Sans CJK SC"/>
        <family val="2"/>
      </rPr>
      <t xml:space="preserve">미국 뉴욕에서 열린 유엔총회에서 북한군 포로 </t>
    </r>
    <r>
      <rPr>
        <sz val="9"/>
        <rFont val="Arial"/>
        <family val="0"/>
        <charset val="1"/>
      </rPr>
      <t xml:space="preserve">2</t>
    </r>
    <r>
      <rPr>
        <sz val="9"/>
        <rFont val="Noto Sans CJK SC"/>
        <family val="2"/>
      </rPr>
      <t xml:space="preserve">명의 한국 송환 사실을 공개했다</t>
    </r>
    <r>
      <rPr>
        <sz val="9"/>
        <rFont val="Arial"/>
        <family val="0"/>
        <charset val="1"/>
      </rPr>
      <t xml:space="preserve">. </t>
    </r>
    <r>
      <rPr>
        <sz val="9"/>
        <rFont val="Noto Sans CJK SC"/>
        <family val="2"/>
      </rPr>
      <t xml:space="preserve">이후 논란이 일자 이 대통령은 </t>
    </r>
    <r>
      <rPr>
        <sz val="9"/>
        <rFont val="Arial"/>
        <family val="0"/>
        <charset val="1"/>
      </rPr>
      <t xml:space="preserve">X(</t>
    </r>
    <r>
      <rPr>
        <sz val="9"/>
        <rFont val="Noto Sans CJK SC"/>
        <family val="2"/>
      </rPr>
      <t xml:space="preserve">구 트위터</t>
    </r>
    <r>
      <rPr>
        <sz val="9"/>
        <rFont val="Arial"/>
        <family val="0"/>
        <charset val="1"/>
      </rPr>
      <t xml:space="preserve">)</t>
    </r>
    <r>
      <rPr>
        <sz val="9"/>
        <rFont val="Noto Sans CJK SC"/>
        <family val="2"/>
      </rPr>
      <t xml:space="preserve">를 통해 “</t>
    </r>
    <r>
      <rPr>
        <sz val="9"/>
        <rFont val="Arial"/>
        <family val="0"/>
        <charset val="1"/>
      </rPr>
      <t xml:space="preserve">(</t>
    </r>
    <r>
      <rPr>
        <sz val="9"/>
        <rFont val="Noto Sans CJK SC"/>
        <family val="2"/>
      </rPr>
      <t xml:space="preserve">우크라이나가</t>
    </r>
    <r>
      <rPr>
        <sz val="9"/>
        <rFont val="Arial"/>
        <family val="0"/>
        <charset val="1"/>
      </rPr>
      <t xml:space="preserve">) </t>
    </r>
    <r>
      <rPr>
        <sz val="9"/>
        <rFont val="Noto Sans CJK SC"/>
        <family val="2"/>
      </rPr>
      <t xml:space="preserve">비공개 합의를 어겼다”고 반박했다</t>
    </r>
    <r>
      <rPr>
        <sz val="9"/>
        <rFont val="Arial"/>
        <family val="0"/>
        <charset val="1"/>
      </rPr>
      <t xml:space="preserve">. </t>
    </r>
    <r>
      <rPr>
        <sz val="9"/>
        <rFont val="Noto Sans CJK SC"/>
        <family val="2"/>
      </rPr>
      <t xml:space="preserve">하지만 우크라이나 대통령실의 한 소식통은 언론에 “비밀 유지를 약속하지 않았다”고 흘리는 등 진실 공방 양상이 빚어졌다</t>
    </r>
    <r>
      <rPr>
        <sz val="9"/>
        <rFont val="Arial"/>
        <family val="0"/>
        <charset val="1"/>
      </rPr>
      <t xml:space="preserve">. </t>
    </r>
    <r>
      <rPr>
        <sz val="9"/>
        <rFont val="Noto Sans CJK SC"/>
        <family val="2"/>
      </rPr>
      <t xml:space="preserve">동시에 국내에서도 북한군 포로 한국 송환의 비공개 여부를 두고 정치적 공방이 일었다</t>
    </r>
    <r>
      <rPr>
        <sz val="9"/>
        <rFont val="Arial"/>
        <family val="0"/>
        <charset val="1"/>
      </rPr>
      <t xml:space="preserve">. </t>
    </r>
    <r>
      <rPr>
        <sz val="9"/>
        <rFont val="Noto Sans CJK SC"/>
        <family val="2"/>
      </rPr>
      <t xml:space="preserve">이 대통령의 미국 뉴욕</t>
    </r>
    <r>
      <rPr>
        <sz val="9"/>
        <rFont val="Arial"/>
        <family val="0"/>
        <charset val="1"/>
      </rPr>
      <t xml:space="preserve">·</t>
    </r>
    <r>
      <rPr>
        <sz val="9"/>
        <rFont val="Noto Sans CJK SC"/>
        <family val="2"/>
      </rPr>
      <t xml:space="preserve">멕시코 순방에 동행했던 성 수석은 입장문을 통해 그동안의 협상 과정을 대거 공개했다</t>
    </r>
    <r>
      <rPr>
        <sz val="9"/>
        <rFont val="Arial"/>
        <family val="0"/>
        <charset val="1"/>
      </rPr>
      <t xml:space="preserve">. </t>
    </r>
    <r>
      <rPr>
        <sz val="9"/>
        <rFont val="Noto Sans CJK SC"/>
        <family val="2"/>
      </rPr>
      <t xml:space="preserve">순방에 함께했던 청와대 핵심급 참모가 한국 도착 직후 입장문을 낸 것도 모자라 협상 과정을 상세하게 설명하는 것은 다소 이례적이라는 평가가 나온다</t>
    </r>
    <r>
      <rPr>
        <sz val="9"/>
        <rFont val="Arial"/>
        <family val="0"/>
        <charset val="1"/>
      </rPr>
      <t xml:space="preserve">. </t>
    </r>
    <r>
      <rPr>
        <sz val="9"/>
        <rFont val="Noto Sans CJK SC"/>
        <family val="2"/>
      </rPr>
      <t xml:space="preserve">청와대의 기조가 강경대응으로 해석되는 이유다</t>
    </r>
    <r>
      <rPr>
        <sz val="9"/>
        <rFont val="Arial"/>
        <family val="0"/>
        <charset val="1"/>
      </rPr>
      <t xml:space="preserve">. </t>
    </r>
    <r>
      <rPr>
        <sz val="9"/>
        <rFont val="Noto Sans CJK SC"/>
        <family val="2"/>
      </rPr>
      <t xml:space="preserve">청와대는 북한군 포로의 한국행 비공개는 우크라이나 정부의 요청에 따른 것이라고 강조했다</t>
    </r>
    <r>
      <rPr>
        <sz val="9"/>
        <rFont val="Arial"/>
        <family val="0"/>
        <charset val="1"/>
      </rPr>
      <t xml:space="preserve">. </t>
    </r>
    <r>
      <rPr>
        <sz val="9"/>
        <rFont val="Noto Sans CJK SC"/>
        <family val="2"/>
      </rPr>
      <t xml:space="preserve">러시아와의 협상 과정에서 북한군 포로를 거래 대상으로 활용할 기회를 포기했다는 자국 내 비판을 우려했다는 취지다</t>
    </r>
    <r>
      <rPr>
        <sz val="9"/>
        <rFont val="Arial"/>
        <family val="0"/>
        <charset val="1"/>
      </rPr>
      <t xml:space="preserve">. </t>
    </r>
    <r>
      <rPr>
        <sz val="9"/>
        <rFont val="Noto Sans CJK SC"/>
        <family val="2"/>
      </rPr>
      <t xml:space="preserve">성 수석은 “북한군 포로의 한국 송환 문제는 국제적으로나 국내적으로 안보</t>
    </r>
    <r>
      <rPr>
        <sz val="9"/>
        <rFont val="Arial"/>
        <family val="0"/>
        <charset val="1"/>
      </rPr>
      <t xml:space="preserve">, </t>
    </r>
    <r>
      <rPr>
        <sz val="9"/>
        <rFont val="Noto Sans CJK SC"/>
        <family val="2"/>
      </rPr>
      <t xml:space="preserve">외교</t>
    </r>
    <r>
      <rPr>
        <sz val="9"/>
        <rFont val="Arial"/>
        <family val="0"/>
        <charset val="1"/>
      </rPr>
      <t xml:space="preserve">, </t>
    </r>
    <r>
      <rPr>
        <sz val="9"/>
        <rFont val="Noto Sans CJK SC"/>
        <family val="2"/>
      </rPr>
      <t xml:space="preserve">국방 및 인권에 관한 매우 민감한 문제로 오랫동안 치밀하게 논의되어온 사안”이라며 “ 우크라이나 정부는 그동안 우리측과 수차례 다양한 경로를 통해 포로송환 문제를 협의하며 협의 과정에서 </t>
    </r>
    <r>
      <rPr>
        <sz val="9"/>
        <rFont val="Arial"/>
        <family val="0"/>
        <charset val="1"/>
      </rPr>
      <t xml:space="preserve">'</t>
    </r>
    <r>
      <rPr>
        <sz val="9"/>
        <rFont val="Noto Sans CJK SC"/>
        <family val="2"/>
      </rPr>
      <t xml:space="preserve">한국송환 시 다수의 자국 포로들과 교환할 기회를 포기했다는 국내 비난여론이 있을 수 있는 등 매우 민감한 사안이니 한국 송환사실을 비공개하자</t>
    </r>
    <r>
      <rPr>
        <sz val="9"/>
        <rFont val="Arial"/>
        <family val="0"/>
        <charset val="1"/>
      </rPr>
      <t xml:space="preserve">'</t>
    </r>
    <r>
      <rPr>
        <sz val="9"/>
        <rFont val="Noto Sans CJK SC"/>
        <family val="2"/>
      </rPr>
      <t xml:space="preserve">며 보안을 요구했다”고 설명했다</t>
    </r>
    <r>
      <rPr>
        <sz val="9"/>
        <rFont val="Arial"/>
        <family val="0"/>
        <charset val="1"/>
      </rPr>
      <t xml:space="preserve">. </t>
    </r>
    <r>
      <rPr>
        <sz val="9"/>
        <rFont val="Noto Sans CJK SC"/>
        <family val="2"/>
      </rPr>
      <t xml:space="preserve">또 “ 우리측 역시 포로 당사자와 가족들의 안전문제와 외교 안보 등 여러 측면을 고려해 비공개에 합의하고 송환 절차를 진행했다</t>
    </r>
    <r>
      <rPr>
        <sz val="9"/>
        <rFont val="Arial"/>
        <family val="0"/>
        <charset val="1"/>
      </rPr>
      <t xml:space="preserve">. </t>
    </r>
    <r>
      <rPr>
        <sz val="9"/>
        <rFont val="Noto Sans CJK SC"/>
        <family val="2"/>
      </rPr>
      <t xml:space="preserve">그런데 우크라이나 정부가 북한군 포로송환 문제에 있어 충분한 사전설명이나 구체협의 없이 일방적으로 금번 유엔총회에서 대통령 연설을 통해 북한군 포로의 한국행을 전격공개했다”고 부연했다</t>
    </r>
    <r>
      <rPr>
        <sz val="9"/>
        <rFont val="Arial"/>
        <family val="0"/>
        <charset val="1"/>
      </rPr>
      <t xml:space="preserve">. </t>
    </r>
    <r>
      <rPr>
        <sz val="9"/>
        <rFont val="Noto Sans CJK SC"/>
        <family val="2"/>
      </rPr>
      <t xml:space="preserve">특히 “ 이에 따라 국내에서 불필요한 논란이 발생하므로 이재명 대통령이 비공개 합의에 반한 공개에 대해 아쉬움을 표현하자</t>
    </r>
    <r>
      <rPr>
        <sz val="9"/>
        <rFont val="Arial"/>
        <family val="0"/>
        <charset val="1"/>
      </rPr>
      <t xml:space="preserve">, </t>
    </r>
    <r>
      <rPr>
        <sz val="9"/>
        <rFont val="Noto Sans CJK SC"/>
        <family val="2"/>
      </rPr>
      <t xml:space="preserve">이번에는 우크라이나 대통령실이 협의나 양해는 물론 사전통보조차 없이 사실과 다르게 </t>
    </r>
    <r>
      <rPr>
        <sz val="9"/>
        <rFont val="Arial"/>
        <family val="0"/>
        <charset val="1"/>
      </rPr>
      <t xml:space="preserve">'</t>
    </r>
    <r>
      <rPr>
        <sz val="9"/>
        <rFont val="Noto Sans CJK SC"/>
        <family val="2"/>
      </rPr>
      <t xml:space="preserve">비공개를 합의한 적이 없다</t>
    </r>
    <r>
      <rPr>
        <sz val="9"/>
        <rFont val="Arial"/>
        <family val="0"/>
        <charset val="1"/>
      </rPr>
      <t xml:space="preserve">'</t>
    </r>
    <r>
      <rPr>
        <sz val="9"/>
        <rFont val="Noto Sans CJK SC"/>
        <family val="2"/>
      </rPr>
      <t xml:space="preserve">고 발표했다</t>
    </r>
    <r>
      <rPr>
        <sz val="9"/>
        <rFont val="Arial"/>
        <family val="0"/>
        <charset val="1"/>
      </rPr>
      <t xml:space="preserve">. </t>
    </r>
    <r>
      <rPr>
        <sz val="9"/>
        <rFont val="Noto Sans CJK SC"/>
        <family val="2"/>
      </rPr>
      <t xml:space="preserve">이에 따라 국내에서는 대통령의 거짓말 논란까지 발생하고 있다”고 비판했다</t>
    </r>
    <r>
      <rPr>
        <sz val="9"/>
        <rFont val="Arial"/>
        <family val="0"/>
        <charset val="1"/>
      </rPr>
      <t xml:space="preserve">. </t>
    </r>
    <r>
      <rPr>
        <sz val="9"/>
        <rFont val="Noto Sans CJK SC"/>
        <family val="2"/>
      </rPr>
      <t xml:space="preserve">청와대는 이번 논란의 책임이 우크라이나에 있다는 입장을 다시 강조했다</t>
    </r>
    <r>
      <rPr>
        <sz val="9"/>
        <rFont val="Arial"/>
        <family val="0"/>
        <charset val="1"/>
      </rPr>
      <t xml:space="preserve">. </t>
    </r>
    <r>
      <rPr>
        <sz val="9"/>
        <rFont val="Noto Sans CJK SC"/>
        <family val="2"/>
      </rPr>
      <t xml:space="preserve">또 공식적인 해명</t>
    </r>
    <r>
      <rPr>
        <sz val="9"/>
        <rFont val="Arial"/>
        <family val="0"/>
        <charset val="1"/>
      </rPr>
      <t xml:space="preserve">·</t>
    </r>
    <r>
      <rPr>
        <sz val="9"/>
        <rFont val="Noto Sans CJK SC"/>
        <family val="2"/>
      </rPr>
      <t xml:space="preserve">사과와 함께 추가적인 조치를 검토하겠다고 했다</t>
    </r>
    <r>
      <rPr>
        <sz val="9"/>
        <rFont val="Arial"/>
        <family val="0"/>
        <charset val="1"/>
      </rPr>
      <t xml:space="preserve">. </t>
    </r>
    <r>
      <rPr>
        <sz val="9"/>
        <rFont val="Noto Sans CJK SC"/>
        <family val="2"/>
      </rPr>
      <t xml:space="preserve">성 수석은 “ 우크라이나 측이 양국간 비공개합의를 어기고 사전 협의는 물론 통보조차 없이 일방적으로 공개한 것도 매우 중대한 문제지만</t>
    </r>
    <r>
      <rPr>
        <sz val="9"/>
        <rFont val="Arial"/>
        <family val="0"/>
        <charset val="1"/>
      </rPr>
      <t xml:space="preserve">, </t>
    </r>
    <r>
      <rPr>
        <sz val="9"/>
        <rFont val="Noto Sans CJK SC"/>
        <family val="2"/>
      </rPr>
      <t xml:space="preserve">우리 대통령의 사실에 기반한 정당한 공개발언에 대해 우크라이나 대통령실 공보실이 비공개 합의가 없었다는 거짓사실을 발표한 것은 양국정부간 신뢰를 심각하게 훼손하고</t>
    </r>
    <r>
      <rPr>
        <sz val="9"/>
        <rFont val="Arial"/>
        <family val="0"/>
        <charset val="1"/>
      </rPr>
      <t xml:space="preserve">, </t>
    </r>
    <r>
      <rPr>
        <sz val="9"/>
        <rFont val="Noto Sans CJK SC"/>
        <family val="2"/>
      </rPr>
      <t xml:space="preserve">양국의 우호 관계에 심대한 지장을 초래하는 행위”라고 강조했다</t>
    </r>
    <r>
      <rPr>
        <sz val="9"/>
        <rFont val="Arial"/>
        <family val="0"/>
        <charset val="1"/>
      </rPr>
      <t xml:space="preserve">. </t>
    </r>
    <r>
      <rPr>
        <sz val="9"/>
        <rFont val="Noto Sans CJK SC"/>
        <family val="2"/>
      </rPr>
      <t xml:space="preserve">또 “이 문제에 대해 추가적으로 필요한 조치를 검토 중”이라고 언급했다</t>
    </r>
    <r>
      <rPr>
        <sz val="9"/>
        <rFont val="Arial"/>
        <family val="0"/>
        <charset val="1"/>
      </rPr>
      <t xml:space="preserve">. </t>
    </r>
    <r>
      <rPr>
        <sz val="9"/>
        <rFont val="Noto Sans CJK SC"/>
        <family val="2"/>
      </rPr>
      <t xml:space="preserve">아울러 사실을 왜곡해 정쟁으로 삼는 일부 정치인들에 대해서도 경고의 메시지를 냈다</t>
    </r>
    <r>
      <rPr>
        <sz val="9"/>
        <rFont val="Arial"/>
        <family val="0"/>
        <charset val="1"/>
      </rPr>
      <t xml:space="preserve">. </t>
    </r>
    <r>
      <rPr>
        <sz val="9"/>
        <rFont val="Noto Sans CJK SC"/>
        <family val="2"/>
      </rPr>
      <t xml:space="preserve">성 수석은 “ 국내 일부 인사들이 우크라이나 정부측의 잘못을 지적하기보다 국익에 관계된 민감한 외교 안보 사안을 정쟁화하며 부당한 우크라이나측 행위를 두둔하며 국익을 훼손하는 것에 대해 깊은 유감을 표시한다</t>
    </r>
    <r>
      <rPr>
        <sz val="9"/>
        <rFont val="Arial"/>
        <family val="0"/>
        <charset val="1"/>
      </rPr>
      <t xml:space="preserve">. </t>
    </r>
    <r>
      <rPr>
        <sz val="9"/>
        <rFont val="Noto Sans CJK SC"/>
        <family val="2"/>
      </rPr>
      <t xml:space="preserve">확인되지 않은 허위주장이나 사실과 다른 주장을 삼가 주시도록 요청드린다”고 밝혔다</t>
    </r>
    <r>
      <rPr>
        <sz val="9"/>
        <rFont val="Arial"/>
        <family val="0"/>
        <charset val="1"/>
      </rPr>
      <t xml:space="preserve">. </t>
    </r>
    <r>
      <rPr>
        <sz val="9"/>
        <rFont val="Noto Sans CJK SC"/>
        <family val="2"/>
      </rPr>
      <t xml:space="preserve">최기창 기자 </t>
    </r>
    <r>
      <rPr>
        <sz val="9"/>
        <rFont val="Arial"/>
        <family val="0"/>
        <charset val="1"/>
      </rPr>
      <t xml:space="preserve">mobydic@etnews.com</t>
    </r>
  </si>
  <si>
    <t xml:space="preserve">South Korean fuel shipments help Russia ease fuel crisis during Ukraine strikes | The Jerusalem Post</t>
  </si>
  <si>
    <t xml:space="preserve">"С большой помпой, но без прорывных результатов": В Восточной и Юго-Восточной Азии оценили итоги американо-китайского саммита - Российская газета</t>
  </si>
  <si>
    <t xml:space="preserve">Корейская пресса прежде всего обращает внимание на разрыв между масштабом приема Си и довольно скромными практическими результатами. "Ёнхап" сформулировал это практически предельно жестко: "Упаковка - пышный церемониал, но содержание встречи осталось скрытым"; кроме двухмесячного продления торгового перемирия заметного прогресса по Тайваню, ИИ и другим спорным вопросам агентство пока не видит.</t>
  </si>
  <si>
    <t xml:space="preserve">Более содержательную оценку сегодня дал сеульский East Asia Institute. Профессор Сеульского национального университета Чон Чжэ Сон считает важным само сохранение дипломатического канала и торгового перемирия, однако предупреждает: фундаментальное американо-китайское противостояние никуда не исчезло. Поэтому для Южной Кореи практический вывод - не воспринимать заявления Белого дома как окончательную стабилизацию и продолжать диверсифицировать цепочки поставок, особенно в технологическом секторе и критических материалах.</t>
  </si>
  <si>
    <t xml:space="preserve">2026-09-16</t>
  </si>
  <si>
    <t xml:space="preserve">KHSC gets $100,000 from car company's campaign - Kingston Whig | The Napanee Guide</t>
  </si>
  <si>
    <t xml:space="preserve">Kingston Health Sciences Centre is getting a $100,000 boost for pediatric cancer care from an automotive company’s national campaign, it was announced Tuesday at Kingston General Hospital.</t>
  </si>
  <si>
    <t xml:space="preserve">It’s the second year KHSC has received a grant through the Hyundai Hope on Wheels charitable foundation, which is distributing $4.1 million to 16 pediatric hosptials this year, up $100,000 from its inaugural year in 2025.</t>
  </si>
  <si>
    <t xml:space="preserve">2026-10-19</t>
  </si>
  <si>
    <r>
      <rPr>
        <sz val="9"/>
        <rFont val="Noto Sans CJK SC"/>
        <family val="2"/>
      </rPr>
      <t xml:space="preserve">박완수 지사 “고용률 하락</t>
    </r>
    <r>
      <rPr>
        <sz val="9"/>
        <rFont val="Arial"/>
        <family val="0"/>
        <charset val="1"/>
      </rPr>
      <t xml:space="preserve">, </t>
    </r>
    <r>
      <rPr>
        <sz val="9"/>
        <rFont val="Noto Sans CJK SC"/>
        <family val="2"/>
      </rPr>
      <t xml:space="preserve">경남 경제 전반 진단 해야” </t>
    </r>
    <r>
      <rPr>
        <sz val="9"/>
        <rFont val="Arial"/>
        <family val="0"/>
        <charset val="1"/>
      </rPr>
      <t xml:space="preserve">:: </t>
    </r>
    <r>
      <rPr>
        <sz val="9"/>
        <rFont val="Noto Sans CJK SC"/>
        <family val="2"/>
      </rPr>
      <t xml:space="preserve">경남신문</t>
    </r>
  </si>
  <si>
    <r>
      <rPr>
        <sz val="9"/>
        <rFont val="Noto Sans CJK SC"/>
        <family val="2"/>
      </rPr>
      <t xml:space="preserve">속보</t>
    </r>
    <r>
      <rPr>
        <sz val="9"/>
        <rFont val="Arial"/>
        <family val="0"/>
        <charset val="1"/>
      </rPr>
      <t xml:space="preserve">= </t>
    </r>
    <r>
      <rPr>
        <sz val="9"/>
        <rFont val="Noto Sans CJK SC"/>
        <family val="2"/>
      </rPr>
      <t xml:space="preserve">경남의 고용률과 취업자 수가 지난해 같은 달보다 감소한 가운데 박완수 경남도지사가 고용을 비롯한 지역경제 지표 전반에 대한 종합적인 진단을 지시했다</t>
    </r>
    <r>
      <rPr>
        <sz val="9"/>
        <rFont val="Arial"/>
        <family val="0"/>
        <charset val="1"/>
      </rPr>
      <t xml:space="preserve">.(19</t>
    </r>
    <r>
      <rPr>
        <sz val="9"/>
        <rFont val="Noto Sans CJK SC"/>
        <family val="2"/>
      </rPr>
      <t xml:space="preserve">일 </t>
    </r>
    <r>
      <rPr>
        <sz val="9"/>
        <rFont val="Arial"/>
        <family val="0"/>
        <charset val="1"/>
      </rPr>
      <t xml:space="preserve">1</t>
    </r>
    <r>
      <rPr>
        <sz val="9"/>
        <rFont val="Noto Sans CJK SC"/>
        <family val="2"/>
      </rPr>
      <t xml:space="preserve">면</t>
    </r>
    <r>
      <rPr>
        <sz val="9"/>
        <rFont val="Arial"/>
        <family val="0"/>
        <charset val="1"/>
      </rPr>
      <t xml:space="preserve">)</t>
    </r>
  </si>
  <si>
    <r>
      <rPr>
        <sz val="9"/>
        <rFont val="Noto Sans CJK SC"/>
        <family val="2"/>
      </rPr>
      <t xml:space="preserve">박 지사는 </t>
    </r>
    <r>
      <rPr>
        <sz val="9"/>
        <rFont val="Arial"/>
        <family val="0"/>
        <charset val="1"/>
      </rPr>
      <t xml:space="preserve">19</t>
    </r>
    <r>
      <rPr>
        <sz val="9"/>
        <rFont val="Noto Sans CJK SC"/>
        <family val="2"/>
      </rPr>
      <t xml:space="preserve">일 오전 도청에서 열린 실국본부장회의에서 최근 발표된 경남 </t>
    </r>
    <r>
      <rPr>
        <sz val="9"/>
        <rFont val="Arial"/>
        <family val="0"/>
        <charset val="1"/>
      </rPr>
      <t xml:space="preserve">9</t>
    </r>
    <r>
      <rPr>
        <sz val="9"/>
        <rFont val="Noto Sans CJK SC"/>
        <family val="2"/>
      </rPr>
      <t xml:space="preserve">월 고용동향과 관련해 “전년도 </t>
    </r>
    <r>
      <rPr>
        <sz val="9"/>
        <rFont val="Arial"/>
        <family val="0"/>
        <charset val="1"/>
      </rPr>
      <t xml:space="preserve">9</t>
    </r>
    <r>
      <rPr>
        <sz val="9"/>
        <rFont val="Noto Sans CJK SC"/>
        <family val="2"/>
      </rPr>
      <t xml:space="preserve">월 고용률이 워낙 높았기 때문에 전년 동기 대비 기저효과도 있다”면서도 “현재 시점에서 경남의 고용률과 취업자 수를 비롯한 경제지표 전반에 대해 한국은행이나 유관기관과 함께 흐름과 추세를 진단하고 분석해 볼 필요가 있다”고 강조했다</t>
    </r>
    <r>
      <rPr>
        <sz val="9"/>
        <rFont val="Arial"/>
        <family val="0"/>
        <charset val="1"/>
      </rPr>
      <t xml:space="preserve">. </t>
    </r>
    <r>
      <rPr>
        <sz val="9"/>
        <rFont val="Noto Sans CJK SC"/>
        <family val="2"/>
      </rPr>
      <t xml:space="preserve">이어“취업률뿐만 아니라 다른 부분도 전반적으로 점검해 어떤 문제가 있는지 살펴봐 달라”고 주문했다</t>
    </r>
    <r>
      <rPr>
        <sz val="9"/>
        <rFont val="Arial"/>
        <family val="0"/>
        <charset val="1"/>
      </rPr>
      <t xml:space="preserve">. </t>
    </r>
    <r>
      <rPr>
        <sz val="9"/>
        <rFont val="Noto Sans CJK SC"/>
        <family val="2"/>
      </rPr>
      <t xml:space="preserve">국가데이터처 동남지방데이터청이 발표한 ‘</t>
    </r>
    <r>
      <rPr>
        <sz val="9"/>
        <rFont val="Arial"/>
        <family val="0"/>
        <charset val="1"/>
      </rPr>
      <t xml:space="preserve">2026</t>
    </r>
    <r>
      <rPr>
        <sz val="9"/>
        <rFont val="Noto Sans CJK SC"/>
        <family val="2"/>
      </rPr>
      <t xml:space="preserve">년 </t>
    </r>
    <r>
      <rPr>
        <sz val="9"/>
        <rFont val="Arial"/>
        <family val="0"/>
        <charset val="1"/>
      </rPr>
      <t xml:space="preserve">9</t>
    </r>
    <r>
      <rPr>
        <sz val="9"/>
        <rFont val="Noto Sans CJK SC"/>
        <family val="2"/>
      </rPr>
      <t xml:space="preserve">월 경상남도 고용동향‘에 따르면 경남의 고용률은 </t>
    </r>
    <r>
      <rPr>
        <sz val="9"/>
        <rFont val="Arial"/>
        <family val="0"/>
        <charset val="1"/>
      </rPr>
      <t xml:space="preserve">63.5%</t>
    </r>
    <r>
      <rPr>
        <sz val="9"/>
        <rFont val="Noto Sans CJK SC"/>
        <family val="2"/>
      </rPr>
      <t xml:space="preserve">로 지난해 같은 달보다 </t>
    </r>
    <r>
      <rPr>
        <sz val="9"/>
        <rFont val="Arial"/>
        <family val="0"/>
        <charset val="1"/>
      </rPr>
      <t xml:space="preserve">0.6%p </t>
    </r>
    <r>
      <rPr>
        <sz val="9"/>
        <rFont val="Noto Sans CJK SC"/>
        <family val="2"/>
      </rPr>
      <t xml:space="preserve">하락했다</t>
    </r>
    <r>
      <rPr>
        <sz val="9"/>
        <rFont val="Arial"/>
        <family val="0"/>
        <charset val="1"/>
      </rPr>
      <t xml:space="preserve">. </t>
    </r>
    <r>
      <rPr>
        <sz val="9"/>
        <rFont val="Noto Sans CJK SC"/>
        <family val="2"/>
      </rPr>
      <t xml:space="preserve">취업자 수는 </t>
    </r>
    <r>
      <rPr>
        <sz val="9"/>
        <rFont val="Arial"/>
        <family val="0"/>
        <charset val="1"/>
      </rPr>
      <t xml:space="preserve">181</t>
    </r>
    <r>
      <rPr>
        <sz val="9"/>
        <rFont val="Noto Sans CJK SC"/>
        <family val="2"/>
      </rPr>
      <t xml:space="preserve">만</t>
    </r>
    <r>
      <rPr>
        <sz val="9"/>
        <rFont val="Arial"/>
        <family val="0"/>
        <charset val="1"/>
      </rPr>
      <t xml:space="preserve">5000</t>
    </r>
    <r>
      <rPr>
        <sz val="9"/>
        <rFont val="Noto Sans CJK SC"/>
        <family val="2"/>
      </rPr>
      <t xml:space="preserve">명으로 </t>
    </r>
    <r>
      <rPr>
        <sz val="9"/>
        <rFont val="Arial"/>
        <family val="0"/>
        <charset val="1"/>
      </rPr>
      <t xml:space="preserve">8000</t>
    </r>
    <r>
      <rPr>
        <sz val="9"/>
        <rFont val="Noto Sans CJK SC"/>
        <family val="2"/>
      </rPr>
      <t xml:space="preserve">명 감소했다</t>
    </r>
    <r>
      <rPr>
        <sz val="9"/>
        <rFont val="Arial"/>
        <family val="0"/>
        <charset val="1"/>
      </rPr>
      <t xml:space="preserve">. </t>
    </r>
    <r>
      <rPr>
        <sz val="9"/>
        <rFont val="Noto Sans CJK SC"/>
        <family val="2"/>
      </rPr>
      <t xml:space="preserve">반면 실업률은 </t>
    </r>
    <r>
      <rPr>
        <sz val="9"/>
        <rFont val="Arial"/>
        <family val="0"/>
        <charset val="1"/>
      </rPr>
      <t xml:space="preserve">1.9%</t>
    </r>
    <r>
      <rPr>
        <sz val="9"/>
        <rFont val="Noto Sans CJK SC"/>
        <family val="2"/>
      </rPr>
      <t xml:space="preserve">로 </t>
    </r>
    <r>
      <rPr>
        <sz val="9"/>
        <rFont val="Arial"/>
        <family val="0"/>
        <charset val="1"/>
      </rPr>
      <t xml:space="preserve">0.5%p </t>
    </r>
    <r>
      <rPr>
        <sz val="9"/>
        <rFont val="Noto Sans CJK SC"/>
        <family val="2"/>
      </rPr>
      <t xml:space="preserve">상승했고</t>
    </r>
    <r>
      <rPr>
        <sz val="9"/>
        <rFont val="Arial"/>
        <family val="0"/>
        <charset val="1"/>
      </rPr>
      <t xml:space="preserve">, </t>
    </r>
    <r>
      <rPr>
        <sz val="9"/>
        <rFont val="Noto Sans CJK SC"/>
        <family val="2"/>
      </rPr>
      <t xml:space="preserve">실업자는 </t>
    </r>
    <r>
      <rPr>
        <sz val="9"/>
        <rFont val="Arial"/>
        <family val="0"/>
        <charset val="1"/>
      </rPr>
      <t xml:space="preserve">3</t>
    </r>
    <r>
      <rPr>
        <sz val="9"/>
        <rFont val="Noto Sans CJK SC"/>
        <family val="2"/>
      </rPr>
      <t xml:space="preserve">만</t>
    </r>
    <r>
      <rPr>
        <sz val="9"/>
        <rFont val="Arial"/>
        <family val="0"/>
        <charset val="1"/>
      </rPr>
      <t xml:space="preserve">6000</t>
    </r>
    <r>
      <rPr>
        <sz val="9"/>
        <rFont val="Noto Sans CJK SC"/>
        <family val="2"/>
      </rPr>
      <t xml:space="preserve">명으로 </t>
    </r>
    <r>
      <rPr>
        <sz val="9"/>
        <rFont val="Arial"/>
        <family val="0"/>
        <charset val="1"/>
      </rPr>
      <t xml:space="preserve">1</t>
    </r>
    <r>
      <rPr>
        <sz val="9"/>
        <rFont val="Noto Sans CJK SC"/>
        <family val="2"/>
      </rPr>
      <t xml:space="preserve">만명 증가했다</t>
    </r>
    <r>
      <rPr>
        <sz val="9"/>
        <rFont val="Arial"/>
        <family val="0"/>
        <charset val="1"/>
      </rPr>
      <t xml:space="preserve">.</t>
    </r>
  </si>
  <si>
    <r>
      <rPr>
        <sz val="9"/>
        <rFont val="Arial"/>
        <family val="0"/>
        <charset val="1"/>
      </rPr>
      <t xml:space="preserve">CJ</t>
    </r>
    <r>
      <rPr>
        <sz val="9"/>
        <rFont val="Noto Sans CJK SC"/>
        <family val="2"/>
      </rPr>
      <t xml:space="preserve">제일제당</t>
    </r>
    <r>
      <rPr>
        <sz val="9"/>
        <rFont val="Arial"/>
        <family val="0"/>
        <charset val="1"/>
      </rPr>
      <t xml:space="preserve">, AI </t>
    </r>
    <r>
      <rPr>
        <sz val="9"/>
        <rFont val="Noto Sans CJK SC"/>
        <family val="2"/>
      </rPr>
      <t xml:space="preserve">시대 맞춤형 채용 컨퍼런스 ‘</t>
    </r>
    <r>
      <rPr>
        <sz val="9"/>
        <rFont val="Arial"/>
        <family val="0"/>
        <charset val="1"/>
      </rPr>
      <t xml:space="preserve">CJ </t>
    </r>
    <r>
      <rPr>
        <sz val="9"/>
        <rFont val="Noto Sans CJK SC"/>
        <family val="2"/>
      </rPr>
      <t xml:space="preserve">언바운드’ 개최</t>
    </r>
    <r>
      <rPr>
        <sz val="9"/>
        <rFont val="Arial"/>
        <family val="0"/>
        <charset val="1"/>
      </rPr>
      <t xml:space="preserve">... 1000</t>
    </r>
    <r>
      <rPr>
        <sz val="9"/>
        <rFont val="Noto Sans CJK SC"/>
        <family val="2"/>
      </rPr>
      <t xml:space="preserve">명 몰렸다</t>
    </r>
  </si>
  <si>
    <r>
      <rPr>
        <sz val="9"/>
        <rFont val="Arial"/>
        <family val="0"/>
        <charset val="1"/>
      </rPr>
      <t xml:space="preserve">CJ</t>
    </r>
    <r>
      <rPr>
        <sz val="9"/>
        <rFont val="Noto Sans CJK SC"/>
        <family val="2"/>
      </rPr>
      <t xml:space="preserve">제일제당이 </t>
    </r>
    <r>
      <rPr>
        <sz val="9"/>
        <rFont val="Arial"/>
        <family val="0"/>
        <charset val="1"/>
      </rPr>
      <t xml:space="preserve">AI </t>
    </r>
    <r>
      <rPr>
        <sz val="9"/>
        <rFont val="Noto Sans CJK SC"/>
        <family val="2"/>
      </rPr>
      <t xml:space="preserve">시대에 맞춘 대규모 통합 채용 컨퍼런스를 개최하며 인재 확보 방식을 전면 개편했다</t>
    </r>
    <r>
      <rPr>
        <sz val="9"/>
        <rFont val="Arial"/>
        <family val="0"/>
        <charset val="1"/>
      </rPr>
      <t xml:space="preserve">. </t>
    </r>
    <r>
      <rPr>
        <sz val="9"/>
        <rFont val="Noto Sans CJK SC"/>
        <family val="2"/>
      </rPr>
      <t xml:space="preserve">기존의 일방향 설명회에서 벗어나 지원자가 직접 직무를 체험하고 현직자와 소통하는 </t>
    </r>
    <r>
      <rPr>
        <sz val="9"/>
        <rFont val="Arial"/>
        <family val="0"/>
        <charset val="1"/>
      </rPr>
      <t xml:space="preserve">'</t>
    </r>
    <r>
      <rPr>
        <sz val="9"/>
        <rFont val="Noto Sans CJK SC"/>
        <family val="2"/>
      </rPr>
      <t xml:space="preserve">쌍방향 채용</t>
    </r>
    <r>
      <rPr>
        <sz val="9"/>
        <rFont val="Arial"/>
        <family val="0"/>
        <charset val="1"/>
      </rPr>
      <t xml:space="preserve">'</t>
    </r>
    <r>
      <rPr>
        <sz val="9"/>
        <rFont val="Noto Sans CJK SC"/>
        <family val="2"/>
      </rPr>
      <t xml:space="preserve">으로 전환한 것이다</t>
    </r>
    <r>
      <rPr>
        <sz val="9"/>
        <rFont val="Arial"/>
        <family val="0"/>
        <charset val="1"/>
      </rPr>
      <t xml:space="preserve">.</t>
    </r>
  </si>
  <si>
    <r>
      <rPr>
        <sz val="9"/>
        <rFont val="Arial"/>
        <family val="0"/>
        <charset val="1"/>
      </rPr>
      <t xml:space="preserve">21</t>
    </r>
    <r>
      <rPr>
        <sz val="9"/>
        <rFont val="Noto Sans CJK SC"/>
        <family val="2"/>
      </rPr>
      <t xml:space="preserve">일 </t>
    </r>
    <r>
      <rPr>
        <sz val="9"/>
        <rFont val="Arial"/>
        <family val="0"/>
        <charset val="1"/>
      </rPr>
      <t xml:space="preserve">CJ</t>
    </r>
    <r>
      <rPr>
        <sz val="9"/>
        <rFont val="Noto Sans CJK SC"/>
        <family val="2"/>
      </rPr>
      <t xml:space="preserve">제일제당은 지난 </t>
    </r>
    <r>
      <rPr>
        <sz val="9"/>
        <rFont val="Arial"/>
        <family val="0"/>
        <charset val="1"/>
      </rPr>
      <t xml:space="preserve">18</t>
    </r>
    <r>
      <rPr>
        <sz val="9"/>
        <rFont val="Noto Sans CJK SC"/>
        <family val="2"/>
      </rPr>
      <t xml:space="preserve">일 서울 중구 </t>
    </r>
    <r>
      <rPr>
        <sz val="9"/>
        <rFont val="Arial"/>
        <family val="0"/>
        <charset val="1"/>
      </rPr>
      <t xml:space="preserve">CJ</t>
    </r>
    <r>
      <rPr>
        <sz val="9"/>
        <rFont val="Noto Sans CJK SC"/>
        <family val="2"/>
      </rPr>
      <t xml:space="preserve">인재원에서 신입사원 채용 컨퍼런스 </t>
    </r>
    <r>
      <rPr>
        <sz val="9"/>
        <rFont val="Arial"/>
        <family val="0"/>
        <charset val="1"/>
      </rPr>
      <t xml:space="preserve">'CJ </t>
    </r>
    <r>
      <rPr>
        <sz val="9"/>
        <rFont val="Noto Sans CJK SC"/>
        <family val="2"/>
      </rPr>
      <t xml:space="preserve">언바운드</t>
    </r>
    <r>
      <rPr>
        <sz val="9"/>
        <rFont val="Arial"/>
        <family val="0"/>
        <charset val="1"/>
      </rPr>
      <t xml:space="preserve">(UNBOUND)'</t>
    </r>
    <r>
      <rPr>
        <sz val="9"/>
        <rFont val="Noto Sans CJK SC"/>
        <family val="2"/>
      </rPr>
      <t xml:space="preserve">를 개최했다고 밝혔다</t>
    </r>
    <r>
      <rPr>
        <sz val="9"/>
        <rFont val="Arial"/>
        <family val="0"/>
        <charset val="1"/>
      </rPr>
      <t xml:space="preserve">. </t>
    </r>
    <r>
      <rPr>
        <sz val="9"/>
        <rFont val="Noto Sans CJK SC"/>
        <family val="2"/>
      </rPr>
      <t xml:space="preserve">사전 신청 첫날에만 </t>
    </r>
    <r>
      <rPr>
        <sz val="9"/>
        <rFont val="Arial"/>
        <family val="0"/>
        <charset val="1"/>
      </rPr>
      <t xml:space="preserve">1,000</t>
    </r>
    <r>
      <rPr>
        <sz val="9"/>
        <rFont val="Noto Sans CJK SC"/>
        <family val="2"/>
      </rPr>
      <t xml:space="preserve">여 명이 몰릴 정도로 취업준비생들의 뜨거운 반응을 얻은 이번 행사에는 최종 추첨을 통해 선정된 </t>
    </r>
    <r>
      <rPr>
        <sz val="9"/>
        <rFont val="Arial"/>
        <family val="0"/>
        <charset val="1"/>
      </rPr>
      <t xml:space="preserve">300</t>
    </r>
    <r>
      <rPr>
        <sz val="9"/>
        <rFont val="Noto Sans CJK SC"/>
        <family val="2"/>
      </rPr>
      <t xml:space="preserve">명이 참가했다</t>
    </r>
    <r>
      <rPr>
        <sz val="9"/>
        <rFont val="Arial"/>
        <family val="0"/>
        <charset val="1"/>
      </rPr>
      <t xml:space="preserve">.</t>
    </r>
  </si>
  <si>
    <t xml:space="preserve">North Korea fires missiles days after South Koreaâs hypersonic test</t>
  </si>
  <si>
    <t xml:space="preserve">SEOUL, Oct 12 (Reuters) - North Korea fired multiple ballistic missiles toward the sea off its east coast on Monday, South Koreaâs military said, marking Pyongyangâs fourth launch in a month and following Seoulâs recent test of a hypersonic missile.</t>
  </si>
  <si>
    <t xml:space="preserve">By Heejin Kim and Joyce Lee The ballistic missiles, whichappeared to be of different types, were fired at around 9:20 a.m. local time (0020 GMT) from near Pyongyang, and one type flew more than 900 km (559 miles), South Korea's Joint Chiefs of Staff said. Earlier, Japan's coast guard said North Korea had fired two unidentified projectiles, believed to be ballistic missiles, adding that both appeared to have already fallen. South Korea's National Security Office convened an emergency meeting, where it condemned the missile launches as violations of United Nations Security Council resolutions and urged an immediate stop. North Korea has been under UN sanctions since 2006, aimed at halting Pyongyang's development of nuclear weapons and ballistic missiles. The latest launches come at a time when tensions have been rising between the two Koreas in recent weeks amid weapons tests by both countries. Last week, South Korean President Lee Jae Myung oversaw the country's first test-firing of a hypersonic missile , a rare public showcasing of a missile test by a South Korean president. Monday's missile launches by North Korea appeared to be "a show of force in response to the successful test launch of our hypersonic missile, as well as an intentional demonstration of missile capabilities," a spokesperson for South Korea's Joint Chiefs of Staff said. North Korea last fired a ballistic missile on October 3 , with state media KCNA saying it was a hypersonic missile tested under the supervision of leader Kim Jong Un . The tests followed a border mine blast last month that wounded three South Korean soldiers. Seoul said the landmines had been planted by North Korea and demanded an apology, but Pyongyang has dismissed this and accused South Korea of provocation. Pyongyang has conducted missile tests on more than 10 occasions this year, including four in the last month. The unusually frequent tests indicate Pyongyang wanted to increase its leverage ahead of a potential summit between leader Kim and US President Donald Trump, said Song Seong-jong, a professor at Daejeon University in Seoul and a former South Korean Defence Ministry official. "They definitely need to raise the value of their status before meeting Trump," Song said. (Reporting by Heejin Kim and Joyce Lee in Seoul, Anton Bridge in TokyoEditing by Ed Davies)</t>
  </si>
  <si>
    <t xml:space="preserve">Cât de departe poate merge Rusia: Volodimir Zelenski dezvălui planul lui Vladimir Putin</t>
  </si>
  <si>
    <t xml:space="preserve">2026-10-08</t>
  </si>
  <si>
    <t xml:space="preserve">Why U.S. And European Companies Are Investing In Asia</t>
  </si>
  <si>
    <t xml:space="preserve">Forbes Councils Member.</t>
  </si>
  <si>
    <t xml:space="preserve">Anoma Baste I MCR I Director Global Studio I Space Matrix.</t>
  </si>
  <si>
    <t xml:space="preserve">2026-10-10</t>
  </si>
  <si>
    <t xml:space="preserve">These 4 Android phone brands you forgot about are still making phones</t>
  </si>
  <si>
    <t xml:space="preserve">In the early days of Android, it seemed like every other week we'd see a completely brand-new phone from an established tech giant. Everyone was taking a stab at it.</t>
  </si>
  <si>
    <t xml:space="preserve">But as Android matured, a select handful of brands became the go-to choices for most buyers, namely Samsung, Google Pixel, and Motorola, while almost every other brand disappeared from the discourse. Well, as it turns out, many of those brands you think disappeared over the years are actually still making phones today, and some of them are surprisingly good.</t>
  </si>
  <si>
    <t xml:space="preserve">2026-10-02</t>
  </si>
  <si>
    <t xml:space="preserve">Сеул предложи на Пхенян преговори за границата</t>
  </si>
  <si>
    <t xml:space="preserve">2 Октомври, 2026 06:55 1 808 2</t>
  </si>
  <si>
    <t xml:space="preserve">Република Корея предложи на Северна Корея да започнат преговори за уточняване и повторно измерване на Военната демаркационна линия, разделяща двете държави. Инициативата беше отправена от министъра на обединението Чун Дон-йон на фона на напрежението след взрива на мина в Демилитаризираната зона.</t>
  </si>
  <si>
    <t xml:space="preserve">Who Is Going to Pay for Alaska LNG? | OilPrice.com</t>
  </si>
  <si>
    <t xml:space="preserve">Click Here for 150+ Global Oil Prices</t>
  </si>
  <si>
    <r>
      <rPr>
        <sz val="9"/>
        <rFont val="Noto Sans CJK SC"/>
        <family val="2"/>
      </rPr>
      <t xml:space="preserve">美 </t>
    </r>
    <r>
      <rPr>
        <sz val="9"/>
        <rFont val="Arial"/>
        <family val="0"/>
        <charset val="1"/>
      </rPr>
      <t xml:space="preserve">OCTG </t>
    </r>
    <r>
      <rPr>
        <sz val="9"/>
        <rFont val="Noto Sans CJK SC"/>
        <family val="2"/>
      </rPr>
      <t xml:space="preserve">반덤핑 </t>
    </r>
    <r>
      <rPr>
        <sz val="9"/>
        <rFont val="Arial"/>
        <family val="0"/>
        <charset val="1"/>
      </rPr>
      <t xml:space="preserve">9.8% </t>
    </r>
    <r>
      <rPr>
        <sz val="9"/>
        <rFont val="Noto Sans CJK SC"/>
        <family val="2"/>
      </rPr>
      <t xml:space="preserve">확정⋯세아제강</t>
    </r>
    <r>
      <rPr>
        <sz val="9"/>
        <rFont val="Arial"/>
        <family val="0"/>
        <charset val="1"/>
      </rPr>
      <t xml:space="preserve">, </t>
    </r>
    <r>
      <rPr>
        <sz val="9"/>
        <rFont val="Noto Sans CJK SC"/>
        <family val="2"/>
      </rPr>
      <t xml:space="preserve">현지 생산으로 대응</t>
    </r>
  </si>
  <si>
    <r>
      <rPr>
        <sz val="9"/>
        <rFont val="Arial"/>
        <family val="0"/>
        <charset val="1"/>
      </rPr>
      <t xml:space="preserve">[</t>
    </r>
    <r>
      <rPr>
        <sz val="9"/>
        <rFont val="Noto Sans CJK SC"/>
        <family val="2"/>
      </rPr>
      <t xml:space="preserve">아이뉴스</t>
    </r>
    <r>
      <rPr>
        <sz val="9"/>
        <rFont val="Arial"/>
        <family val="0"/>
        <charset val="1"/>
      </rPr>
      <t xml:space="preserve">24 </t>
    </r>
    <r>
      <rPr>
        <sz val="9"/>
        <rFont val="Noto Sans CJK SC"/>
        <family val="2"/>
      </rPr>
      <t xml:space="preserve">홍성효 기자</t>
    </r>
    <r>
      <rPr>
        <sz val="9"/>
        <rFont val="Arial"/>
        <family val="0"/>
        <charset val="1"/>
      </rPr>
      <t xml:space="preserve">] </t>
    </r>
    <r>
      <rPr>
        <sz val="9"/>
        <rFont val="Noto Sans CJK SC"/>
        <family val="2"/>
      </rPr>
      <t xml:space="preserve">미국이 한국산 유정용 강관</t>
    </r>
    <r>
      <rPr>
        <sz val="9"/>
        <rFont val="Arial"/>
        <family val="0"/>
        <charset val="1"/>
      </rPr>
      <t xml:space="preserve">(OCTG)</t>
    </r>
    <r>
      <rPr>
        <sz val="9"/>
        <rFont val="Noto Sans CJK SC"/>
        <family val="2"/>
      </rPr>
      <t xml:space="preserve">에 대한 반덤핑 관세를 다시 산정하면서 세아제강의 미국 수출 부담이 커졌다</t>
    </r>
    <r>
      <rPr>
        <sz val="9"/>
        <rFont val="Arial"/>
        <family val="0"/>
        <charset val="1"/>
      </rPr>
      <t xml:space="preserve">. </t>
    </r>
    <r>
      <rPr>
        <sz val="9"/>
        <rFont val="Noto Sans CJK SC"/>
        <family val="2"/>
      </rPr>
      <t xml:space="preserve">상계관세는 사실상 </t>
    </r>
    <r>
      <rPr>
        <sz val="9"/>
        <rFont val="Arial"/>
        <family val="0"/>
        <charset val="1"/>
      </rPr>
      <t xml:space="preserve">0% </t>
    </r>
    <r>
      <rPr>
        <sz val="9"/>
        <rFont val="Noto Sans CJK SC"/>
        <family val="2"/>
      </rPr>
      <t xml:space="preserve">수준을 유지하고 미국의 철강 </t>
    </r>
    <r>
      <rPr>
        <sz val="9"/>
        <rFont val="Arial"/>
        <family val="0"/>
        <charset val="1"/>
      </rPr>
      <t xml:space="preserve">232 </t>
    </r>
    <r>
      <rPr>
        <sz val="9"/>
        <rFont val="Noto Sans CJK SC"/>
        <family val="2"/>
      </rPr>
      <t xml:space="preserve">관세가 높은 수준에서 적용되고 있는 만큼 세아제강지주는 미국 현지 생산과 중동 등 수출시장 다변화를 통해 통상 환경 변화에 대응한다는 전략이다</t>
    </r>
    <r>
      <rPr>
        <sz val="9"/>
        <rFont val="Arial"/>
        <family val="0"/>
        <charset val="1"/>
      </rPr>
      <t xml:space="preserve">.</t>
    </r>
  </si>
  <si>
    <r>
      <rPr>
        <sz val="9"/>
        <rFont val="Arial"/>
        <family val="0"/>
        <charset val="1"/>
      </rPr>
      <t xml:space="preserve">28</t>
    </r>
    <r>
      <rPr>
        <sz val="9"/>
        <rFont val="Noto Sans CJK SC"/>
        <family val="2"/>
      </rPr>
      <t xml:space="preserve">일 철강업계와 미국 상무부에 따르면 미국 상무부는 지난 </t>
    </r>
    <r>
      <rPr>
        <sz val="9"/>
        <rFont val="Arial"/>
        <family val="0"/>
        <charset val="1"/>
      </rPr>
      <t xml:space="preserve">24</t>
    </r>
    <r>
      <rPr>
        <sz val="9"/>
        <rFont val="Noto Sans CJK SC"/>
        <family val="2"/>
      </rPr>
      <t xml:space="preserve">일 한국산 </t>
    </r>
    <r>
      <rPr>
        <sz val="9"/>
        <rFont val="Arial"/>
        <family val="0"/>
        <charset val="1"/>
      </rPr>
      <t xml:space="preserve">OCTG</t>
    </r>
    <r>
      <rPr>
        <sz val="9"/>
        <rFont val="Noto Sans CJK SC"/>
        <family val="2"/>
      </rPr>
      <t xml:space="preserve">에 대한 </t>
    </r>
    <r>
      <rPr>
        <sz val="9"/>
        <rFont val="Arial"/>
        <family val="0"/>
        <charset val="1"/>
      </rPr>
      <t xml:space="preserve">2023~2024</t>
    </r>
    <r>
      <rPr>
        <sz val="9"/>
        <rFont val="Noto Sans CJK SC"/>
        <family val="2"/>
      </rPr>
      <t xml:space="preserve">년 반덤핑 행정재심 최종판정에서 세아제강의 덤핑마진을 </t>
    </r>
    <r>
      <rPr>
        <sz val="9"/>
        <rFont val="Arial"/>
        <family val="0"/>
        <charset val="1"/>
      </rPr>
      <t xml:space="preserve">9.80%</t>
    </r>
    <r>
      <rPr>
        <sz val="9"/>
        <rFont val="Noto Sans CJK SC"/>
        <family val="2"/>
      </rPr>
      <t xml:space="preserve">로 확정했다</t>
    </r>
    <r>
      <rPr>
        <sz val="9"/>
        <rFont val="Arial"/>
        <family val="0"/>
        <charset val="1"/>
      </rPr>
      <t xml:space="preserve">. </t>
    </r>
    <r>
      <rPr>
        <sz val="9"/>
        <rFont val="Noto Sans CJK SC"/>
        <family val="2"/>
      </rPr>
      <t xml:space="preserve">넥스틸은 </t>
    </r>
    <r>
      <rPr>
        <sz val="9"/>
        <rFont val="Arial"/>
        <family val="0"/>
        <charset val="1"/>
      </rPr>
      <t xml:space="preserve">29.94%, </t>
    </r>
    <r>
      <rPr>
        <sz val="9"/>
        <rFont val="Noto Sans CJK SC"/>
        <family val="2"/>
      </rPr>
      <t xml:space="preserve">개별 심사를 받지 않은 </t>
    </r>
    <r>
      <rPr>
        <sz val="9"/>
        <rFont val="Arial"/>
        <family val="0"/>
        <charset val="1"/>
      </rPr>
      <t xml:space="preserve">16</t>
    </r>
    <r>
      <rPr>
        <sz val="9"/>
        <rFont val="Noto Sans CJK SC"/>
        <family val="2"/>
      </rPr>
      <t xml:space="preserve">개 업체에는 </t>
    </r>
    <r>
      <rPr>
        <sz val="9"/>
        <rFont val="Arial"/>
        <family val="0"/>
        <charset val="1"/>
      </rPr>
      <t xml:space="preserve">19.87%</t>
    </r>
    <r>
      <rPr>
        <sz val="9"/>
        <rFont val="Noto Sans CJK SC"/>
        <family val="2"/>
      </rPr>
      <t xml:space="preserve">의 재심 특정률이 적용된다</t>
    </r>
    <r>
      <rPr>
        <sz val="9"/>
        <rFont val="Arial"/>
        <family val="0"/>
        <charset val="1"/>
      </rPr>
      <t xml:space="preserve">. </t>
    </r>
    <r>
      <rPr>
        <sz val="9"/>
        <rFont val="Noto Sans CJK SC"/>
        <family val="2"/>
      </rPr>
      <t xml:space="preserve">이번 재심 대상 기간은 </t>
    </r>
    <r>
      <rPr>
        <sz val="9"/>
        <rFont val="Arial"/>
        <family val="0"/>
        <charset val="1"/>
      </rPr>
      <t xml:space="preserve">2023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1</t>
    </r>
    <r>
      <rPr>
        <sz val="9"/>
        <rFont val="Noto Sans CJK SC"/>
        <family val="2"/>
      </rPr>
      <t xml:space="preserve">일부터 </t>
    </r>
    <r>
      <rPr>
        <sz val="9"/>
        <rFont val="Arial"/>
        <family val="0"/>
        <charset val="1"/>
      </rPr>
      <t xml:space="preserve">2024</t>
    </r>
    <r>
      <rPr>
        <sz val="9"/>
        <rFont val="Noto Sans CJK SC"/>
        <family val="2"/>
      </rPr>
      <t xml:space="preserve">년 </t>
    </r>
    <r>
      <rPr>
        <sz val="9"/>
        <rFont val="Arial"/>
        <family val="0"/>
        <charset val="1"/>
      </rPr>
      <t xml:space="preserve">8</t>
    </r>
    <r>
      <rPr>
        <sz val="9"/>
        <rFont val="Noto Sans CJK SC"/>
        <family val="2"/>
      </rPr>
      <t xml:space="preserve">월 </t>
    </r>
    <r>
      <rPr>
        <sz val="9"/>
        <rFont val="Arial"/>
        <family val="0"/>
        <charset val="1"/>
      </rPr>
      <t xml:space="preserve">31</t>
    </r>
    <r>
      <rPr>
        <sz val="9"/>
        <rFont val="Noto Sans CJK SC"/>
        <family val="2"/>
      </rPr>
      <t xml:space="preserve">일까지다</t>
    </r>
    <r>
      <rPr>
        <sz val="9"/>
        <rFont val="Arial"/>
        <family val="0"/>
        <charset val="1"/>
      </rPr>
      <t xml:space="preserve">.</t>
    </r>
  </si>
  <si>
    <r>
      <rPr>
        <sz val="9"/>
        <rFont val="Noto Sans CJK SC"/>
        <family val="2"/>
      </rPr>
      <t xml:space="preserve">“대미투자 </t>
    </r>
    <r>
      <rPr>
        <sz val="9"/>
        <rFont val="Arial"/>
        <family val="0"/>
        <charset val="1"/>
      </rPr>
      <t xml:space="preserve">1</t>
    </r>
    <r>
      <rPr>
        <sz val="9"/>
        <rFont val="Noto Sans CJK SC"/>
        <family val="2"/>
      </rPr>
      <t xml:space="preserve">호 텍사스가스발전…</t>
    </r>
    <r>
      <rPr>
        <sz val="9"/>
        <rFont val="Arial"/>
        <family val="0"/>
        <charset val="1"/>
      </rPr>
      <t xml:space="preserve">2</t>
    </r>
    <r>
      <rPr>
        <sz val="9"/>
        <rFont val="Noto Sans CJK SC"/>
        <family val="2"/>
      </rPr>
      <t xml:space="preserve">호 원전</t>
    </r>
    <r>
      <rPr>
        <sz val="9"/>
        <rFont val="Arial"/>
        <family val="0"/>
        <charset val="1"/>
      </rPr>
      <t xml:space="preserve">·3</t>
    </r>
    <r>
      <rPr>
        <sz val="9"/>
        <rFont val="Noto Sans CJK SC"/>
        <family val="2"/>
      </rPr>
      <t xml:space="preserve">호 알래스카”</t>
    </r>
    <r>
      <rPr>
        <sz val="9"/>
        <rFont val="Arial"/>
        <family val="0"/>
        <charset val="1"/>
      </rPr>
      <t xml:space="preserve">-</t>
    </r>
    <r>
      <rPr>
        <sz val="9"/>
        <rFont val="Noto Sans CJK SC"/>
        <family val="2"/>
      </rPr>
      <t xml:space="preserve">국민일보</t>
    </r>
  </si>
  <si>
    <t xml:space="preserve">Trump Unveils South Korean Investment in US Energy Projects - ASEAN &amp; Beyond En.tempo.co</t>
  </si>
  <si>
    <t xml:space="preserve">October 2, 2026 | 06:45 am</t>
  </si>
  <si>
    <t xml:space="preserve">TEMPO.CO, Jakarta - U.S. President Donald Trump has announced that South Korea will invest $200 billion in energy projects in the United States, DW reported.</t>
  </si>
  <si>
    <t xml:space="preserve">2026-10-15</t>
  </si>
  <si>
    <r>
      <rPr>
        <sz val="9"/>
        <rFont val="Noto Sans CJK SC"/>
        <family val="2"/>
      </rPr>
      <t xml:space="preserve">삼성</t>
    </r>
    <r>
      <rPr>
        <sz val="9"/>
        <rFont val="Arial"/>
        <family val="0"/>
        <charset val="1"/>
      </rPr>
      <t xml:space="preserve">, 3</t>
    </r>
    <r>
      <rPr>
        <sz val="9"/>
        <rFont val="Noto Sans CJK SC"/>
        <family val="2"/>
      </rPr>
      <t xml:space="preserve">년 연속 </t>
    </r>
    <r>
      <rPr>
        <sz val="9"/>
        <rFont val="Arial"/>
        <family val="0"/>
        <charset val="1"/>
      </rPr>
      <t xml:space="preserve">'</t>
    </r>
    <r>
      <rPr>
        <sz val="9"/>
        <rFont val="Noto Sans CJK SC"/>
        <family val="2"/>
      </rPr>
      <t xml:space="preserve">亞 왕좌</t>
    </r>
    <r>
      <rPr>
        <sz val="9"/>
        <rFont val="Arial"/>
        <family val="0"/>
        <charset val="1"/>
      </rPr>
      <t xml:space="preserve">'… </t>
    </r>
    <r>
      <rPr>
        <sz val="9"/>
        <rFont val="Noto Sans CJK SC"/>
        <family val="2"/>
      </rPr>
      <t xml:space="preserve">애플</t>
    </r>
    <r>
      <rPr>
        <sz val="9"/>
        <rFont val="Arial"/>
        <family val="0"/>
        <charset val="1"/>
      </rPr>
      <t xml:space="preserve">·</t>
    </r>
    <r>
      <rPr>
        <sz val="9"/>
        <rFont val="Noto Sans CJK SC"/>
        <family val="2"/>
      </rPr>
      <t xml:space="preserve">나이키 제친 브랜드 가치 </t>
    </r>
    <r>
      <rPr>
        <sz val="9"/>
        <rFont val="Arial"/>
        <family val="0"/>
        <charset val="1"/>
      </rPr>
      <t xml:space="preserve">- </t>
    </r>
    <r>
      <rPr>
        <sz val="9"/>
        <rFont val="Noto Sans CJK SC"/>
        <family val="2"/>
      </rPr>
      <t xml:space="preserve">파이낸셜뉴스</t>
    </r>
  </si>
  <si>
    <r>
      <rPr>
        <sz val="9"/>
        <rFont val="Noto Sans CJK SC"/>
        <family val="2"/>
      </rPr>
      <t xml:space="preserve">【파이낸셜뉴스 도쿄</t>
    </r>
    <r>
      <rPr>
        <sz val="9"/>
        <rFont val="Arial"/>
        <family val="0"/>
        <charset val="1"/>
      </rPr>
      <t xml:space="preserve">=</t>
    </r>
    <r>
      <rPr>
        <sz val="9"/>
        <rFont val="Noto Sans CJK SC"/>
        <family val="2"/>
      </rPr>
      <t xml:space="preserve">서혜진 특파원】 삼성전자가 아시아 브랜드 가치 조사에서 </t>
    </r>
    <r>
      <rPr>
        <sz val="9"/>
        <rFont val="Arial"/>
        <family val="0"/>
        <charset val="1"/>
      </rPr>
      <t xml:space="preserve">3</t>
    </r>
    <r>
      <rPr>
        <sz val="9"/>
        <rFont val="Noto Sans CJK SC"/>
        <family val="2"/>
      </rPr>
      <t xml:space="preserve">년 연속 </t>
    </r>
    <r>
      <rPr>
        <sz val="9"/>
        <rFont val="Arial"/>
        <family val="0"/>
        <charset val="1"/>
      </rPr>
      <t xml:space="preserve">1</t>
    </r>
    <r>
      <rPr>
        <sz val="9"/>
        <rFont val="Noto Sans CJK SC"/>
        <family val="2"/>
      </rPr>
      <t xml:space="preserve">위를 차지했다</t>
    </r>
    <r>
      <rPr>
        <sz val="9"/>
        <rFont val="Arial"/>
        <family val="0"/>
        <charset val="1"/>
      </rPr>
      <t xml:space="preserve">. </t>
    </r>
    <r>
      <rPr>
        <sz val="9"/>
        <rFont val="Noto Sans CJK SC"/>
        <family val="2"/>
      </rPr>
      <t xml:space="preserve">애플과 나이키를 제치고 종합 선두를 지켰지만 국가별로는 인도</t>
    </r>
    <r>
      <rPr>
        <sz val="9"/>
        <rFont val="Arial"/>
        <family val="0"/>
        <charset val="1"/>
      </rPr>
      <t xml:space="preserve">·</t>
    </r>
    <r>
      <rPr>
        <sz val="9"/>
        <rFont val="Noto Sans CJK SC"/>
        <family val="2"/>
      </rPr>
      <t xml:space="preserve">베트남</t>
    </r>
    <r>
      <rPr>
        <sz val="9"/>
        <rFont val="Arial"/>
        <family val="0"/>
        <charset val="1"/>
      </rPr>
      <t xml:space="preserve">·</t>
    </r>
    <r>
      <rPr>
        <sz val="9"/>
        <rFont val="Noto Sans CJK SC"/>
        <family val="2"/>
      </rPr>
      <t xml:space="preserve">인도네시아에서 </t>
    </r>
    <r>
      <rPr>
        <sz val="9"/>
        <rFont val="Arial"/>
        <family val="0"/>
        <charset val="1"/>
      </rPr>
      <t xml:space="preserve">2</t>
    </r>
    <r>
      <rPr>
        <sz val="9"/>
        <rFont val="Noto Sans CJK SC"/>
        <family val="2"/>
      </rPr>
      <t xml:space="preserve">위로 내려갔다</t>
    </r>
    <r>
      <rPr>
        <sz val="9"/>
        <rFont val="Arial"/>
        <family val="0"/>
        <charset val="1"/>
      </rPr>
      <t xml:space="preserve">. </t>
    </r>
    <r>
      <rPr>
        <sz val="9"/>
        <rFont val="Noto Sans CJK SC"/>
        <family val="2"/>
      </rPr>
      <t xml:space="preserve">중국 브랜드는 품질과 디자인에 대한 평가가 높아지면서 대부분 순위가 상승했다</t>
    </r>
    <r>
      <rPr>
        <sz val="9"/>
        <rFont val="Arial"/>
        <family val="0"/>
        <charset val="1"/>
      </rPr>
      <t xml:space="preserve">.</t>
    </r>
  </si>
  <si>
    <r>
      <rPr>
        <sz val="9"/>
        <rFont val="Noto Sans CJK SC"/>
        <family val="2"/>
      </rPr>
      <t xml:space="preserve">아시아 </t>
    </r>
    <r>
      <rPr>
        <sz val="9"/>
        <rFont val="Arial"/>
        <family val="0"/>
        <charset val="1"/>
      </rPr>
      <t xml:space="preserve">8</t>
    </r>
    <r>
      <rPr>
        <sz val="9"/>
        <rFont val="Noto Sans CJK SC"/>
        <family val="2"/>
      </rPr>
      <t xml:space="preserve">國 브랜드 가치 조사 </t>
    </r>
    <r>
      <rPr>
        <sz val="9"/>
        <rFont val="Arial"/>
        <family val="0"/>
        <charset val="1"/>
      </rPr>
      <t xml:space="preserve">3</t>
    </r>
    <r>
      <rPr>
        <sz val="9"/>
        <rFont val="Noto Sans CJK SC"/>
        <family val="2"/>
      </rPr>
      <t xml:space="preserve">년째 </t>
    </r>
    <r>
      <rPr>
        <sz val="9"/>
        <rFont val="Arial"/>
        <family val="0"/>
        <charset val="1"/>
      </rPr>
      <t xml:space="preserve">1</t>
    </r>
    <r>
      <rPr>
        <sz val="9"/>
        <rFont val="Noto Sans CJK SC"/>
        <family val="2"/>
      </rPr>
      <t xml:space="preserve">위</t>
    </r>
  </si>
  <si>
    <t xml:space="preserve">2026-10-07</t>
  </si>
  <si>
    <t xml:space="preserve">Ledakan DMZ dorong Korsel nyatakan Korut langgar gencatan senjata - ANTARA News</t>
  </si>
  <si>
    <t xml:space="preserve">Seoul (ANTARA) - Korea Selatan menjelaskan pihaknya berupaya menyatakan secara resmi bahwa aktivitas Korea Utara di perbatasan baru-baru ini sebagai pelanggaran Perjanjian Gencatan Senjata, menyusul penyelidikan bersama dengan Komando PBB (UNC).</t>
  </si>
  <si>
    <t xml:space="preserve">Kementerian Pertahanan Korea Selatan pada Rabu mengatakan langkah tersebut dilakukan setelah penyelidikan menyimpulkan bahwa ranjau yang diduga sengaja dipasang Korea Utara di sisi selatan Garis Demarkasi Militer (MDL) menyebabkan ledakan pada 21 September 2026.</t>
  </si>
  <si>
    <t xml:space="preserve">2026-09-23</t>
  </si>
  <si>
    <t xml:space="preserve">Ascension Parish releases a dozen NDAs involving Hyundai Steel mill</t>
  </si>
  <si>
    <t xml:space="preserve">DONALDSONVILLE - The Ascension Parish Government released documents on Tuesday, including a dozen NDAs involving the Hyundai Steel mill, which broke ground earlier this month.</t>
  </si>
  <si>
    <t xml:space="preserve">Two different types of NDAs were shared with the public, one involving Ascension Parish officials or employees and Hyundai Steel, the other involving elected officials and Louisiana Economic Development.</t>
  </si>
  <si>
    <t xml:space="preserve">2026-09-18</t>
  </si>
  <si>
    <t xml:space="preserve">Kuruc.info - A dél-koreai elnök szerint Trump szeretné újraindítani a párbeszédet Észak-Koreával</t>
  </si>
  <si>
    <t xml:space="preserve">Külföld :: 2026. szeptember 18. 06:44 :: Hozzászólások</t>
  </si>
  <si>
    <t xml:space="preserve">S. Korea reaffirms agreed conditions for OPCON transfer, USFK chief suggests otherwise - The Korea Herald</t>
  </si>
  <si>
    <t xml:space="preserve">Staff reporter at The Korea Herald’s National Desk, based in Seoul. Covers South Korea’s national security and foreign policy, with a focus on the Defense, Foreign and Unification Ministries, as well as the National Assembly. Before entering journalism, served as an Air Force officer. Experience includes providing translation and interpretation, as well as strategic input for planning efforts, at the ROK-US Combined Forces Command. During three years of military service, took part in six major South Korea-US combined exercises.</t>
  </si>
  <si>
    <t xml:space="preserve">Japanisches Meer - Nordkorea feuert zwei Kurzstreckenraketen ab - Südkorea beruft Sicherheitsrat ein</t>
  </si>
  <si>
    <t xml:space="preserve">2026-10-11</t>
  </si>
  <si>
    <t xml:space="preserve">South Korea completes first Arctic commercial voyage, targets regular route by 2030 despite risks</t>
  </si>
  <si>
    <t xml:space="preserve">Cutting Asia-Europe shipping times by a third, South Korea’s landmark voyage through Russian Arctic waters opens a new chapter for ports in Britain, the Netherlands, and Poland</t>
  </si>
  <si>
    <t xml:space="preserve">South Korea has successfully completed its first commercial round-trip voyage to Europe via the Arctic on October 11, marking a major milestone in the country's maritime ambitions.</t>
  </si>
  <si>
    <t xml:space="preserve">Former Twins pitcher has found new life in KBO after brutal MLB season</t>
  </si>
  <si>
    <t xml:space="preserve">Former Minnesota Twins pitcher Chris Paddack signed a contract with the Samsung Lions of the KBO in July after pitching for three MLB teams this year. Paddack, whom the Detroit Tigers acquired from the Twins ahead of the 2025 trade deadline, signed a one-year, $4 million deal with the Miami Marlins over the offseason. He didn't even make it to summer with the Marlins, as Miami designated the right-hander for assignment in early May .</t>
  </si>
  <si>
    <t xml:space="preserve">The Marlins released Paddack, 30, after he cleared waivers, allowing him to sign a deal with the Cincinnati Reds. A little over a month later, the Reds designated Paddack for assignment and released him after he cleared waivers. He then signed a contract with the Texas Rangers and appeared in just one game with the club before being DFA'd and electing free agency to sign with the KBO's Lions. Between the three MLB teams this year, Paddack posted a 6.79 ERA with a 1.67 WHIP over 57 innings.</t>
  </si>
  <si>
    <t xml:space="preserve">Sydkorea: Vi går inte in i Irankriget</t>
  </si>
  <si>
    <t xml:space="preserve">– Trump vill ha dialog och jag uppmanar också president Trump att ingå dialog, säger Lee.</t>
  </si>
  <si>
    <t xml:space="preserve">USA:s president har uttryckt förhoppningar om ett nytt möte med Nordkoreas diktator Kim Jong-Un.</t>
  </si>
  <si>
    <t xml:space="preserve">Samsung Outsources Nvidia AI Memory Base Dies to TSMC as Foundry Yields Fall Short</t>
  </si>
  <si>
    <t xml:space="preserve">Samsung's chief foundry rival now manufactures the most sophisticated component inside Samsung's own flagship AI memory product — a striking collapse of the vertical integration model that Samsung's memory division has relied on for decades. Seoul Economic Daily reported Sunday that Samsung Electronics agreed to source base dies for Nvidia's proprietary NVHBM memory architecture from TSMC's 3nm process, handing the contract to the Taiwanese foundry after an internal review concluded that Samsung's SF2 process cannot match TSMC's yield rates at the scale and reliability Nvidia demands.</t>
  </si>
  <si>
    <t xml:space="preserve">The decision confirms what semiconductor researchers have tracked for months: a roughly 40-percentage-point yield gap between Samsung's SF2 gate-all-around process (estimated at 50 to 60 percent) and TSMC's N3 FinFET node (above 90 percent, per Nvidia's brief to suppliers) has become disqualifying for Samsung Foundry at the top of the AI memory market.</t>
  </si>
  <si>
    <r>
      <rPr>
        <sz val="9"/>
        <rFont val="Noto Sans CJK SC"/>
        <family val="2"/>
      </rPr>
      <t xml:space="preserve">“맛깔리아</t>
    </r>
    <r>
      <rPr>
        <sz val="9"/>
        <rFont val="Arial"/>
        <family val="0"/>
        <charset val="1"/>
      </rPr>
      <t xml:space="preserve">·</t>
    </r>
    <r>
      <rPr>
        <sz val="9"/>
        <rFont val="Noto Sans CJK SC"/>
        <family val="2"/>
      </rPr>
      <t xml:space="preserve">에이비씨”…식품업계 ‘한글’ 입고 </t>
    </r>
    <r>
      <rPr>
        <sz val="9"/>
        <rFont val="Arial"/>
        <family val="0"/>
        <charset val="1"/>
      </rPr>
      <t xml:space="preserve">'K</t>
    </r>
    <r>
      <rPr>
        <sz val="9"/>
        <rFont val="Noto Sans CJK SC"/>
        <family val="2"/>
      </rPr>
      <t xml:space="preserve">푸드</t>
    </r>
    <r>
      <rPr>
        <sz val="9"/>
        <rFont val="Arial"/>
        <family val="0"/>
        <charset val="1"/>
      </rPr>
      <t xml:space="preserve">' </t>
    </r>
    <r>
      <rPr>
        <sz val="9"/>
        <rFont val="Noto Sans CJK SC"/>
        <family val="2"/>
      </rPr>
      <t xml:space="preserve">알린다</t>
    </r>
  </si>
  <si>
    <r>
      <rPr>
        <sz val="9"/>
        <rFont val="Noto Sans CJK SC"/>
        <family val="2"/>
      </rPr>
      <t xml:space="preserve">등록 </t>
    </r>
    <r>
      <rPr>
        <sz val="9"/>
        <rFont val="Arial"/>
        <family val="0"/>
        <charset val="1"/>
      </rPr>
      <t xml:space="preserve">2026-10-08 </t>
    </r>
    <r>
      <rPr>
        <sz val="9"/>
        <rFont val="Noto Sans CJK SC"/>
        <family val="2"/>
      </rPr>
      <t xml:space="preserve">오후 </t>
    </r>
    <r>
      <rPr>
        <sz val="9"/>
        <rFont val="Arial"/>
        <family val="0"/>
        <charset val="1"/>
      </rPr>
      <t xml:space="preserve">6:14:30</t>
    </r>
  </si>
  <si>
    <r>
      <rPr>
        <sz val="9"/>
        <rFont val="Noto Sans CJK SC"/>
        <family val="2"/>
      </rPr>
      <t xml:space="preserve">수정 </t>
    </r>
    <r>
      <rPr>
        <sz val="9"/>
        <rFont val="Arial"/>
        <family val="0"/>
        <charset val="1"/>
      </rPr>
      <t xml:space="preserve">2026-10-08 </t>
    </r>
    <r>
      <rPr>
        <sz val="9"/>
        <rFont val="Noto Sans CJK SC"/>
        <family val="2"/>
      </rPr>
      <t xml:space="preserve">오후 </t>
    </r>
    <r>
      <rPr>
        <sz val="9"/>
        <rFont val="Arial"/>
        <family val="0"/>
        <charset val="1"/>
      </rPr>
      <t xml:space="preserve">6:17:12</t>
    </r>
  </si>
  <si>
    <r>
      <rPr>
        <sz val="9"/>
        <rFont val="Noto Sans CJK SC"/>
        <family val="2"/>
      </rPr>
      <t xml:space="preserve">뷰익 들어오자 달라진 쉐보레 전시장</t>
    </r>
    <r>
      <rPr>
        <sz val="9"/>
        <rFont val="Arial"/>
        <family val="0"/>
        <charset val="1"/>
      </rPr>
      <t xml:space="preserve">... GM</t>
    </r>
    <r>
      <rPr>
        <sz val="9"/>
        <rFont val="Noto Sans CJK SC"/>
        <family val="2"/>
      </rPr>
      <t xml:space="preserve">의 한국 시장 ‘반격 카드’ 될까</t>
    </r>
  </si>
  <si>
    <r>
      <rPr>
        <sz val="9"/>
        <rFont val="Noto Sans CJK SC"/>
        <family val="2"/>
      </rPr>
      <t xml:space="preserve">제너럴모터스</t>
    </r>
    <r>
      <rPr>
        <sz val="9"/>
        <rFont val="Arial"/>
        <family val="0"/>
        <charset val="1"/>
      </rPr>
      <t xml:space="preserve">(GM)</t>
    </r>
    <r>
      <rPr>
        <sz val="9"/>
        <rFont val="Noto Sans CJK SC"/>
        <family val="2"/>
      </rPr>
      <t xml:space="preserve">가 뷰익의 한국 시장 진출을 계기로 기존 쉐보레 전시장을 재편하고 있다</t>
    </r>
    <r>
      <rPr>
        <sz val="9"/>
        <rFont val="Arial"/>
        <family val="0"/>
        <charset val="1"/>
      </rPr>
      <t xml:space="preserve">. </t>
    </r>
    <r>
      <rPr>
        <sz val="9"/>
        <rFont val="Noto Sans CJK SC"/>
        <family val="2"/>
      </rPr>
      <t xml:space="preserve">기존 쉐보레 전시장에 뷰익 전용 공간을 도입하고</t>
    </r>
    <r>
      <rPr>
        <sz val="9"/>
        <rFont val="Arial"/>
        <family val="0"/>
        <charset val="1"/>
      </rPr>
      <t xml:space="preserve">, </t>
    </r>
    <r>
      <rPr>
        <sz val="9"/>
        <rFont val="Noto Sans CJK SC"/>
        <family val="2"/>
      </rPr>
      <t xml:space="preserve">두 브랜드가 판매</t>
    </r>
    <r>
      <rPr>
        <sz val="9"/>
        <rFont val="Arial"/>
        <family val="0"/>
        <charset val="1"/>
      </rPr>
      <t xml:space="preserve">·</t>
    </r>
    <r>
      <rPr>
        <sz val="9"/>
        <rFont val="Noto Sans CJK SC"/>
        <family val="2"/>
      </rPr>
      <t xml:space="preserve">서비스 인프라를 공유하는 방식이다</t>
    </r>
    <r>
      <rPr>
        <sz val="9"/>
        <rFont val="Arial"/>
        <family val="0"/>
        <charset val="1"/>
      </rPr>
      <t xml:space="preserve">.</t>
    </r>
  </si>
  <si>
    <r>
      <rPr>
        <sz val="9"/>
        <rFont val="Noto Sans CJK SC"/>
        <family val="2"/>
      </rPr>
      <t xml:space="preserve">지난 </t>
    </r>
    <r>
      <rPr>
        <sz val="9"/>
        <rFont val="Arial"/>
        <family val="0"/>
        <charset val="1"/>
      </rPr>
      <t xml:space="preserve">9</t>
    </r>
    <r>
      <rPr>
        <sz val="9"/>
        <rFont val="Noto Sans CJK SC"/>
        <family val="2"/>
      </rPr>
      <t xml:space="preserve">월 국내 판매량이 </t>
    </r>
    <r>
      <rPr>
        <sz val="9"/>
        <rFont val="Arial"/>
        <family val="0"/>
        <charset val="1"/>
      </rPr>
      <t xml:space="preserve">727</t>
    </r>
    <r>
      <rPr>
        <sz val="9"/>
        <rFont val="Noto Sans CJK SC"/>
        <family val="2"/>
      </rPr>
      <t xml:space="preserve">대까지 떨어진 </t>
    </r>
    <r>
      <rPr>
        <sz val="9"/>
        <rFont val="Arial"/>
        <family val="0"/>
        <charset val="1"/>
      </rPr>
      <t xml:space="preserve">GM </t>
    </r>
    <r>
      <rPr>
        <sz val="9"/>
        <rFont val="Noto Sans CJK SC"/>
        <family val="2"/>
      </rPr>
      <t xml:space="preserve">한국사업장이 새로운 브랜드와 기존 판매망을 결합해 내수시장 반등을 모색하고 있다는 분석이 나온다</t>
    </r>
    <r>
      <rPr>
        <sz val="9"/>
        <rFont val="Arial"/>
        <family val="0"/>
        <charset val="1"/>
      </rPr>
      <t xml:space="preserve">.</t>
    </r>
  </si>
  <si>
    <t xml:space="preserve">Trump details US$200bil in US energy investments by South Korea | FMT</t>
  </si>
  <si>
    <t xml:space="preserve">Besides the Alaska LNG project and pipeline, the Trump administration announced eight new nuclear plants and a large natural gas-fired plant in Texas that would be supported by the government of South Korea, Trump said.</t>
  </si>
  <si>
    <t xml:space="preserve">The announcement details South Korea’s previous pledges to make good on a tariff deal with Trump.</t>
  </si>
  <si>
    <t xml:space="preserve">Val de rachete balistice lansat de Coreea de Nord în Marea Japoniei. Ședință de urgență la Seul - News.yam.md</t>
  </si>
  <si>
    <t xml:space="preserve">Armata sud-coreeană analizează specificațiile tehnice ale rachetelor nord-coreene, împreună cu specialiștii din Statele Unite, scrie hotnews.ro.</t>
  </si>
  <si>
    <t xml:space="preserve">Citeşte toată ştirea</t>
  </si>
  <si>
    <t xml:space="preserve">Seul domaga się przeprosin od Kijowa. Zełenski ujawnił tajny transfer jeńców - Bankier.pl</t>
  </si>
  <si>
    <t xml:space="preserve">Ukraina jako pierwsza wystąpiła o utajnienie przekazania Korei Płd. dwóch jeńców wojennych z Korei Płn., choć później sama ujawniła tę informację – przekazali w środę posłowie południowokoreańskiej komisji ds. wywiadu.</t>
  </si>
  <si>
    <t xml:space="preserve">– Ukraina prosiła o dyskrecję ze względu na obawę przed negatywnym wpływem ujawnienia sprawy (przekazania żołnierzy) na jej własne rokowania z Rosją dotyczące wymiany jeńców – powiedział deputowany Ju Joung Ha z opozycyjnej Partii Władzy Ludowej, relacjonując informacje ujawnione przez służbę wywiadu NIS podczas zamkniętego posiedzenia komisji parlamentarnej.</t>
  </si>
  <si>
    <t xml:space="preserve">2026-09-27</t>
  </si>
  <si>
    <t xml:space="preserve">США и КНР снизят взаимные пошлины на $30 млрд – Reuters - Информационное агентство Деловой журнал Профиль - profile.ru</t>
  </si>
  <si>
    <t xml:space="preserve">Соглашение достигнуто во время государственного визита председателя КНР Си Цзиньпина в Вашингтон, сообщает Reuters.</t>
  </si>
  <si>
    <t xml:space="preserve">По данным агентства, меры затронут экспорт из США сельскохозяйственной продукции, древесины и косметики, а также импорт в США мелкой бытовой техники, игрушек и предметов декора.</t>
  </si>
  <si>
    <t xml:space="preserve">S. Korea's materials and components reliance on Japan declined across the board since 2019 trade dispute</t>
  </si>
  <si>
    <t xml:space="preserve">South Korea's reliance on Japan for materials and components has been declining across the board ever since Japan intensified control on exports of key materials to South Korea in July 2019.</t>
  </si>
  <si>
    <t xml:space="preserve">Dependence on Japan for three key materials — high-purity hydrogen fluoride, extreme ultraviolet (EUV) photoresists, and fluorinated polyimides — has gradually declined. But South Korea still remains heavily dependent on Japan for all three of them, which analysts are pointing to as an issue to be resolved going forward.</t>
  </si>
  <si>
    <t xml:space="preserve">Test your knowledge of recent news events -
Las Vegas Sun News</t>
  </si>
  <si>
    <t xml:space="preserve">The U.S. Capitol and a model of President Donald Trump's proposed Triumphal Arch are seen at the Great American State Fair, Friday, July 3, 2026, on the National Mall in Washington. Photo by:
                Julia Demaree Nikhinson / Associated Press</t>
  </si>
  <si>
    <t xml:space="preserve">Tuesday, Sept. 22, 2026 | 2 a.m.</t>
  </si>
  <si>
    <t xml:space="preserve">Kwang-Ju Son and Yehwan Song: The Square and the Cross - Announcements - e-flux</t>
  </si>
  <si>
    <t xml:space="preserve">[1] Kwang-ju Son, The Holy City (still), 2026. Courtesy of the artist. [2] Yehwan Song, The Whirpool (detail), 2024. Installation. Photo: Cheolki Hong.</t>
  </si>
  <si>
    <t xml:space="preserve">The Haus for Media Art Oldenburg is proud to present a duo exhibition by Yehwan Song and Kwang-Ju Son , titled The Square and the Cross.</t>
  </si>
  <si>
    <t xml:space="preserve">Nord-Korea dømt til å betale millionerstatning til Sør-Korea</t>
  </si>
  <si>
    <t xml:space="preserve">En domstol i Sør-Korea pålegger Nord-Korea å betale flere hundre millioner i erstatning etter å ha sprengt et forbindelseskontor i nord.</t>
  </si>
  <si>
    <t xml:space="preserve">Kontoret som ble sprengt i 2020, var opprettet for å jobbe med å bedre forholdet mellom de to landene, melder det sørkoreanske nyhetsbyrået Yonhap.</t>
  </si>
  <si>
    <t xml:space="preserve">Как договариваться с человеком, который не держит слово - Новости Mail</t>
  </si>
  <si>
    <t xml:space="preserve">Внешняя политика по-украински — крайне необычный феномен. К хамоватым и назойливым дипломатам мировая общественность вроде бы привыкла. Однако официальные представители Киева не перестают удивлять.</t>
  </si>
  <si>
    <t xml:space="preserve">На этот раз неприятную истину об украинском подходе к делам познала Южная Корея. Если совсем коротко, дело было так. В неопределенный период времени после августа 2024 года Сеул договорился с Киевом о том, что Украина будет передавать солдат КНДР, которых удалось пленить в ходе боев за Курскую область. В рамках сделки украинская сторона успела отправить в Южную Корею двух бойцов, — о чем президент Владимир Зеленский гордо сообщил с трибуны ООН .</t>
  </si>
  <si>
    <t xml:space="preserve">La UE condena el lanzamiento de misiles balísticos norcoreanos y pide a Pyongyang rebajar la tensión</t>
  </si>
  <si>
    <t xml:space="preserve">Seúl y Tokio denunciaron el sábado el ensayo de un misil balístico por parte de Corea del Norte frente a su costa</t>
  </si>
  <si>
    <t xml:space="preserve">La Unión Europea ha condenado este lunes el lanzamiento de misiles balísticos efectuado el pasado sábado por Corea del Norte, al considerar que supone una nueva violación de las resoluciones del Consejo de Seguridad de Naciones Unidas y una amenaza para la seguridad regional e internacional.</t>
  </si>
  <si>
    <t xml:space="preserve">Україно-корейське напруження: Москва надіслала сигнал Сеулу - Главком</t>
  </si>
  <si>
    <t xml:space="preserve">Російська влада заявила про готовність відновити відносини з Південною Кореєю</t>
  </si>
  <si>
    <t xml:space="preserve">Заступник міністра закордонних справ Росії Андрій Руденко заявив, що Москва готова до нормалізації відносин із Південною Кореєю та вітатиме практичні кроки Сеула в цьому напрямку. Водночас російська сторона запевнила, що не пов'язує двосторонні відносини з війною проти України. Про це повідомляє « Главком » із посиланням на російські ЗМІ.</t>
  </si>
  <si>
    <t xml:space="preserve">2026-10-13</t>
  </si>
  <si>
    <t xml:space="preserve">Kim Jong Un Showcases ICBM Ahead of Possible Trump Meeting - EconoTimes</t>
  </si>
  <si>
    <t xml:space="preserve">North Korean leader Kim Jong Un visited a newly opened military museum showcasing advanced weapons, including an intercontinental ballistic missile (ICBM) capable of striking the United States, according to state media KCNA on Tuesday.</t>
  </si>
  <si>
    <t xml:space="preserve">The visit comes amid speculation about a possible meeting between Kim and US President Donald Trump, who recently suggested he could meet the North Korean leader during his upcoming Asia trip. Trump is expected to attend the Asia-Pacific Economic Cooperation (APEC) summit in China in mid-November.</t>
  </si>
  <si>
    <t xml:space="preserve">На российский рынок могут вернуться Hyundai и Kia: посол Кореи назвал задуманное сложной задачей - Новости Mail</t>
  </si>
  <si>
    <t xml:space="preserve">Два южнокорейских бренда автомобилей Hyundai и Kia могут вернуться на российский рынок. Сейчас компании изучают такую возможность. Однако это будет сложно. С таким комментарием выступил посол Республики Корея в России Ли Сок Пэ в беседе с «Известиями».</t>
  </si>
  <si>
    <t xml:space="preserve">Дипломат отметил, что компании заинтересованы в российском рынке. При этом главным условием брендов для сотрудничества остается урегулирование конфликта на Украине, уточнил посол.</t>
  </si>
  <si>
    <t xml:space="preserve">The Galaxy S27 Ultra runs into issues with the Snapdragon 8 EE Gen 6, Exynos 2700 may return - GSMArena.com news</t>
  </si>
  <si>
    <t xml:space="preserve">Peter 16 October 2026</t>
  </si>
  <si>
    <t xml:space="preserve">Samsung Android Rumors</t>
  </si>
  <si>
    <t xml:space="preserve">Is sending officials to UAE a sign Seoul is leaning towards Hormuz deployment?</t>
  </si>
  <si>
    <t xml:space="preserve">US-China summit: Powerful Xi presents Trump with tough choices over Iran</t>
  </si>
  <si>
    <t xml:space="preserve">Nine years after his meeting with Donald Trump at Mar-a-Lago in Florida, China's President Xi Jinping returns today, September 23, to the US , not as the leader of a China trying to catch up with America, but as the head of a power that has spectacularly transformed its international footprint. With a stronger technological base, massive industrial power, and critical bargaining chips in hand, Xi Jinping will speak with Trump , negotiating from a much stronger position. Indeed, China has greatly reduced its reliance on the American market while simultaneously possessing significant leverage over Washington, ranging from rare earths to artificial intelligence. The meeting takes on the character of a showdown between two sides that know neither can easily dictate terms to the other anymore.</t>
  </si>
  <si>
    <t xml:space="preserve">When Chinese leader Xi Jinping visits Washington this week, he will sit at the same table with President Donald Trump from an entirely different position compared to the last time the two men met face-to-face in the United States , nearly a decade ago. At the 2017 summit at Trump's Mar-a-Lago resort, China lagged behind the US in many areas and was vulnerable to the technological and trade tensions that Trump would unleash against it the following year. Now, Xi arrives as the leader of a country that has been transformed, reports CNN in its analysis.</t>
  </si>
  <si>
    <t xml:space="preserve">World Watch | The Shillong Times</t>
  </si>
  <si>
    <t xml:space="preserve">India condemns attacks on Saudi Arabia airports</t>
  </si>
  <si>
    <t xml:space="preserve">NEW DELHI, Oct 8: India on Thursday condemned attacks on Abha and King Khalid international airports in Saudi Arabia’s Riyadh, terming the targeting of civilian infrastructure “completely unacceptable”. The MEA offered condolences to the families of those who lost their lives in the attack and wished for a speedy recovery of those injured. “India condemns the attacks over the past few days targeting Abha International Airport and King Khalid International Airport in Riyadh, which have resulted in civilian deaths and injuries. The targeting of civilian infrastructure is completely unacceptable,” the MEA said in a statement. (IANS)</t>
  </si>
  <si>
    <t xml:space="preserve">Trump courts North Korea’s leader, but might need China to reignite the flame - Hawaii Tribune-Herald</t>
  </si>
  <si>
    <t xml:space="preserve">FILE — President Donald Trump and President Xi Jinping of China review members of the Chinese military outside the Great Hall of the People in Beijing during their two-day summit, on Thursday, May 14, 2026. Xi is reluctant to have the United States and North Korea grow closer but he could see helping broker a summit as a favor to Trump and a way to gain leverage on other U.S.-China issues, a former Trump administration official said. (Kenny Holston/The New York Times)</t>
  </si>
  <si>
    <t xml:space="preserve">WASHINGTON — The overtures from President Donald Trump to one of his favorite dictators came hot and heavy over the summer.</t>
  </si>
  <si>
    <t xml:space="preserve">Lawsuit filed over proposed funding for marine terminal near Hyundai-POSCO steel plant</t>
  </si>
  <si>
    <t xml:space="preserve">ASCENSION PARISH - The Port of South Louisiana is a defendant in a lawsuit challenging funding for a proposed project to support the construction of the Hyundai-POSCO Louisiana Steel Plant near Modeste in Ascension Parish.</t>
  </si>
  <si>
    <t xml:space="preserve">The lawsuit alleges that the port violated the Louisiana Constitution in its attempt to fund the construction of a new marine terminal near the site.</t>
  </si>
  <si>
    <t xml:space="preserve">What counts as security? Takaichi’s foreign policy through peace-oriented and alternative media and analysis</t>
  </si>
  <si>
    <t xml:space="preserve">This post is also available in: Spanish , French , Italian , German</t>
  </si>
  <si>
    <t xml:space="preserve">The first article ended with a question: “What is missing from this map?” After looking at Takaichi’s foreign policy from six vantage points — the United States, Europe, Australia, South Korea, China and Southeast Asia — we now shift our gaze toward peace organizations, alternative media and critical analysis. IPB, Democracy Now!, Le Monde diplomatique, Asia-Pacific Journal: Japan Focus, Bulletin of the Atomic Scientists, Foreign Policy in Focus and CounterPunch do not form a single bloc. The question is simpler: from another vantage point, what becomes visible — and what may instead escape our view?</t>
  </si>
  <si>
    <t xml:space="preserve">Kim Jong-Un’s sister signals 'tactical strike' in chilling border warning as leader feared dead - London Business News | Londonlovesbusiness.com</t>
  </si>
  <si>
    <t xml:space="preserve">North Korea has threatened to deploy additional weapons along its southern border after Kim Yo Jong, the powerful sister of leader Kim Jong-un, warned of a “grave situation” and accused South Korea of escalating military tensions.</t>
  </si>
  <si>
    <t xml:space="preserve">Kim’s remarks signal a further deterioration in relations between the two neighbours, with Pyongyang threatening to resume psychological warfare broadcasts and strengthen its military posture along the frontier.</t>
  </si>
  <si>
    <r>
      <rPr>
        <sz val="9"/>
        <rFont val="Noto Sans CJK SC"/>
        <family val="2"/>
      </rPr>
      <t xml:space="preserve">韓</t>
    </r>
    <r>
      <rPr>
        <sz val="9"/>
        <rFont val="Arial"/>
        <family val="0"/>
        <charset val="1"/>
      </rPr>
      <t xml:space="preserve">, 9</t>
    </r>
    <r>
      <rPr>
        <sz val="9"/>
        <rFont val="Noto Sans CJK SC"/>
        <family val="2"/>
      </rPr>
      <t xml:space="preserve">월 러시아산 </t>
    </r>
    <r>
      <rPr>
        <sz val="9"/>
        <rFont val="Arial"/>
        <family val="0"/>
        <charset val="1"/>
      </rPr>
      <t xml:space="preserve">LNG </t>
    </r>
    <r>
      <rPr>
        <sz val="9"/>
        <rFont val="Noto Sans CJK SC"/>
        <family val="2"/>
      </rPr>
      <t xml:space="preserve">수입 </t>
    </r>
    <r>
      <rPr>
        <sz val="9"/>
        <rFont val="Arial"/>
        <family val="0"/>
        <charset val="1"/>
      </rPr>
      <t xml:space="preserve">'2021</t>
    </r>
    <r>
      <rPr>
        <sz val="9"/>
        <rFont val="Noto Sans CJK SC"/>
        <family val="2"/>
      </rPr>
      <t xml:space="preserve">년 </t>
    </r>
    <r>
      <rPr>
        <sz val="9"/>
        <rFont val="Arial"/>
        <family val="0"/>
        <charset val="1"/>
      </rPr>
      <t xml:space="preserve">11</t>
    </r>
    <r>
      <rPr>
        <sz val="9"/>
        <rFont val="Noto Sans CJK SC"/>
        <family val="2"/>
      </rPr>
      <t xml:space="preserve">월 이후 최대</t>
    </r>
    <r>
      <rPr>
        <sz val="9"/>
        <rFont val="Arial"/>
        <family val="0"/>
        <charset val="1"/>
      </rPr>
      <t xml:space="preserve">'…</t>
    </r>
    <r>
      <rPr>
        <sz val="9"/>
        <rFont val="Noto Sans CJK SC"/>
        <family val="2"/>
      </rPr>
      <t xml:space="preserve">카타르 공급 차질 여파 </t>
    </r>
    <r>
      <rPr>
        <sz val="9"/>
        <rFont val="Arial"/>
        <family val="0"/>
        <charset val="1"/>
      </rPr>
      <t xml:space="preserve">- </t>
    </r>
    <r>
      <rPr>
        <sz val="9"/>
        <rFont val="Noto Sans CJK SC"/>
        <family val="2"/>
      </rPr>
      <t xml:space="preserve">파이낸셜뉴스</t>
    </r>
  </si>
  <si>
    <r>
      <rPr>
        <sz val="9"/>
        <rFont val="Arial"/>
        <family val="0"/>
        <charset val="1"/>
      </rPr>
      <t xml:space="preserve">[</t>
    </r>
    <r>
      <rPr>
        <sz val="9"/>
        <rFont val="Noto Sans CJK SC"/>
        <family val="2"/>
      </rPr>
      <t xml:space="preserve">파이낸셜뉴스</t>
    </r>
    <r>
      <rPr>
        <sz val="9"/>
        <rFont val="Arial"/>
        <family val="0"/>
        <charset val="1"/>
      </rPr>
      <t xml:space="preserve">] </t>
    </r>
    <r>
      <rPr>
        <sz val="9"/>
        <rFont val="Noto Sans CJK SC"/>
        <family val="2"/>
      </rPr>
      <t xml:space="preserve">한국의 지난 </t>
    </r>
    <r>
      <rPr>
        <sz val="9"/>
        <rFont val="Arial"/>
        <family val="0"/>
        <charset val="1"/>
      </rPr>
      <t xml:space="preserve">9</t>
    </r>
    <r>
      <rPr>
        <sz val="9"/>
        <rFont val="Noto Sans CJK SC"/>
        <family val="2"/>
      </rPr>
      <t xml:space="preserve">월 러시아산 액화천연가스</t>
    </r>
    <r>
      <rPr>
        <sz val="9"/>
        <rFont val="Arial"/>
        <family val="0"/>
        <charset val="1"/>
      </rPr>
      <t xml:space="preserve">(LNG) </t>
    </r>
    <r>
      <rPr>
        <sz val="9"/>
        <rFont val="Noto Sans CJK SC"/>
        <family val="2"/>
      </rPr>
      <t xml:space="preserve">수입량이 </t>
    </r>
    <r>
      <rPr>
        <sz val="9"/>
        <rFont val="Arial"/>
        <family val="0"/>
        <charset val="1"/>
      </rPr>
      <t xml:space="preserve">2021</t>
    </r>
    <r>
      <rPr>
        <sz val="9"/>
        <rFont val="Noto Sans CJK SC"/>
        <family val="2"/>
      </rPr>
      <t xml:space="preserve">년 </t>
    </r>
    <r>
      <rPr>
        <sz val="9"/>
        <rFont val="Arial"/>
        <family val="0"/>
        <charset val="1"/>
      </rPr>
      <t xml:space="preserve">11</t>
    </r>
    <r>
      <rPr>
        <sz val="9"/>
        <rFont val="Noto Sans CJK SC"/>
        <family val="2"/>
      </rPr>
      <t xml:space="preserve">월 이후 약 </t>
    </r>
    <r>
      <rPr>
        <sz val="9"/>
        <rFont val="Arial"/>
        <family val="0"/>
        <charset val="1"/>
      </rPr>
      <t xml:space="preserve">4</t>
    </r>
    <r>
      <rPr>
        <sz val="9"/>
        <rFont val="Noto Sans CJK SC"/>
        <family val="2"/>
      </rPr>
      <t xml:space="preserve">년 </t>
    </r>
    <r>
      <rPr>
        <sz val="9"/>
        <rFont val="Arial"/>
        <family val="0"/>
        <charset val="1"/>
      </rPr>
      <t xml:space="preserve">10</t>
    </r>
    <r>
      <rPr>
        <sz val="9"/>
        <rFont val="Noto Sans CJK SC"/>
        <family val="2"/>
      </rPr>
      <t xml:space="preserve">개월 만에 최대치를 기록한 것으로 나타났다</t>
    </r>
    <r>
      <rPr>
        <sz val="9"/>
        <rFont val="Arial"/>
        <family val="0"/>
        <charset val="1"/>
      </rPr>
      <t xml:space="preserve">. </t>
    </r>
    <r>
      <rPr>
        <sz val="9"/>
        <rFont val="Noto Sans CJK SC"/>
        <family val="2"/>
      </rPr>
      <t xml:space="preserve">핵심 수입국이던 카타르가 중동 지역 내 전쟁 여파로 생산을 중단하자</t>
    </r>
    <r>
      <rPr>
        <sz val="9"/>
        <rFont val="Arial"/>
        <family val="0"/>
        <charset val="1"/>
      </rPr>
      <t xml:space="preserve">, </t>
    </r>
    <r>
      <rPr>
        <sz val="9"/>
        <rFont val="Noto Sans CJK SC"/>
        <family val="2"/>
      </rPr>
      <t xml:space="preserve">이를 대체하기 위해 러시아산 수입 물량을 늘린 결과로 풀이된다</t>
    </r>
    <r>
      <rPr>
        <sz val="9"/>
        <rFont val="Arial"/>
        <family val="0"/>
        <charset val="1"/>
      </rPr>
      <t xml:space="preserve">.</t>
    </r>
  </si>
  <si>
    <r>
      <rPr>
        <sz val="9"/>
        <rFont val="Noto Sans CJK SC"/>
        <family val="2"/>
      </rPr>
      <t xml:space="preserve">■ 카타르 </t>
    </r>
    <r>
      <rPr>
        <sz val="9"/>
        <rFont val="Arial"/>
        <family val="0"/>
        <charset val="1"/>
      </rPr>
      <t xml:space="preserve">'</t>
    </r>
    <r>
      <rPr>
        <sz val="9"/>
        <rFont val="Noto Sans CJK SC"/>
        <family val="2"/>
      </rPr>
      <t xml:space="preserve">불가항력</t>
    </r>
    <r>
      <rPr>
        <sz val="9"/>
        <rFont val="Arial"/>
        <family val="0"/>
        <charset val="1"/>
      </rPr>
      <t xml:space="preserve">' </t>
    </r>
    <r>
      <rPr>
        <sz val="9"/>
        <rFont val="Noto Sans CJK SC"/>
        <family val="2"/>
      </rPr>
      <t xml:space="preserve">선언 속 러시아산 수입 껑충 </t>
    </r>
    <r>
      <rPr>
        <sz val="9"/>
        <rFont val="Arial"/>
        <family val="0"/>
        <charset val="1"/>
      </rPr>
      <t xml:space="preserve">16</t>
    </r>
    <r>
      <rPr>
        <sz val="9"/>
        <rFont val="Noto Sans CJK SC"/>
        <family val="2"/>
      </rPr>
      <t xml:space="preserve">일</t>
    </r>
    <r>
      <rPr>
        <sz val="9"/>
        <rFont val="Arial"/>
        <family val="0"/>
        <charset val="1"/>
      </rPr>
      <t xml:space="preserve">(</t>
    </r>
    <r>
      <rPr>
        <sz val="9"/>
        <rFont val="Noto Sans CJK SC"/>
        <family val="2"/>
      </rPr>
      <t xml:space="preserve">현지시간</t>
    </r>
    <r>
      <rPr>
        <sz val="9"/>
        <rFont val="Arial"/>
        <family val="0"/>
        <charset val="1"/>
      </rPr>
      <t xml:space="preserve">) </t>
    </r>
    <r>
      <rPr>
        <sz val="9"/>
        <rFont val="Noto Sans CJK SC"/>
        <family val="2"/>
      </rPr>
      <t xml:space="preserve">러시아 국영 타스통신이 한국 관세청 자료를 인용해 보도한 바에 따르면</t>
    </r>
    <r>
      <rPr>
        <sz val="9"/>
        <rFont val="Arial"/>
        <family val="0"/>
        <charset val="1"/>
      </rPr>
      <t xml:space="preserve">, </t>
    </r>
    <r>
      <rPr>
        <sz val="9"/>
        <rFont val="Noto Sans CJK SC"/>
        <family val="2"/>
      </rPr>
      <t xml:space="preserve">한국은 지난 </t>
    </r>
    <r>
      <rPr>
        <sz val="9"/>
        <rFont val="Arial"/>
        <family val="0"/>
        <charset val="1"/>
      </rPr>
      <t xml:space="preserve">9</t>
    </r>
    <r>
      <rPr>
        <sz val="9"/>
        <rFont val="Noto Sans CJK SC"/>
        <family val="2"/>
      </rPr>
      <t xml:space="preserve">월 러시아로부터 </t>
    </r>
    <r>
      <rPr>
        <sz val="9"/>
        <rFont val="Arial"/>
        <family val="0"/>
        <charset val="1"/>
      </rPr>
      <t xml:space="preserve">32</t>
    </r>
    <r>
      <rPr>
        <sz val="9"/>
        <rFont val="Noto Sans CJK SC"/>
        <family val="2"/>
      </rPr>
      <t xml:space="preserve">만</t>
    </r>
    <r>
      <rPr>
        <sz val="9"/>
        <rFont val="Arial"/>
        <family val="0"/>
        <charset val="1"/>
      </rPr>
      <t xml:space="preserve">6000t(</t>
    </r>
    <r>
      <rPr>
        <sz val="9"/>
        <rFont val="Noto Sans CJK SC"/>
        <family val="2"/>
      </rPr>
      <t xml:space="preserve">톤</t>
    </r>
    <r>
      <rPr>
        <sz val="9"/>
        <rFont val="Arial"/>
        <family val="0"/>
        <charset val="1"/>
      </rPr>
      <t xml:space="preserve">), </t>
    </r>
    <r>
      <rPr>
        <sz val="9"/>
        <rFont val="Noto Sans CJK SC"/>
        <family val="2"/>
      </rPr>
      <t xml:space="preserve">금액으로는 </t>
    </r>
    <r>
      <rPr>
        <sz val="9"/>
        <rFont val="Arial"/>
        <family val="0"/>
        <charset val="1"/>
      </rPr>
      <t xml:space="preserve">2</t>
    </r>
    <r>
      <rPr>
        <sz val="9"/>
        <rFont val="Noto Sans CJK SC"/>
        <family val="2"/>
      </rPr>
      <t xml:space="preserve">억</t>
    </r>
    <r>
      <rPr>
        <sz val="9"/>
        <rFont val="Arial"/>
        <family val="0"/>
        <charset val="1"/>
      </rPr>
      <t xml:space="preserve">5000</t>
    </r>
    <r>
      <rPr>
        <sz val="9"/>
        <rFont val="Noto Sans CJK SC"/>
        <family val="2"/>
      </rPr>
      <t xml:space="preserve">만달러</t>
    </r>
    <r>
      <rPr>
        <sz val="9"/>
        <rFont val="Arial"/>
        <family val="0"/>
        <charset val="1"/>
      </rPr>
      <t xml:space="preserve">(</t>
    </r>
    <r>
      <rPr>
        <sz val="9"/>
        <rFont val="Noto Sans CJK SC"/>
        <family val="2"/>
      </rPr>
      <t xml:space="preserve">약 </t>
    </r>
    <r>
      <rPr>
        <sz val="9"/>
        <rFont val="Arial"/>
        <family val="0"/>
        <charset val="1"/>
      </rPr>
      <t xml:space="preserve">3333</t>
    </r>
    <r>
      <rPr>
        <sz val="9"/>
        <rFont val="Noto Sans CJK SC"/>
        <family val="2"/>
      </rPr>
      <t xml:space="preserve">억원</t>
    </r>
    <r>
      <rPr>
        <sz val="9"/>
        <rFont val="Arial"/>
        <family val="0"/>
        <charset val="1"/>
      </rPr>
      <t xml:space="preserve">) </t>
    </r>
    <r>
      <rPr>
        <sz val="9"/>
        <rFont val="Noto Sans CJK SC"/>
        <family val="2"/>
      </rPr>
      <t xml:space="preserve">상당의 </t>
    </r>
    <r>
      <rPr>
        <sz val="9"/>
        <rFont val="Arial"/>
        <family val="0"/>
        <charset val="1"/>
      </rPr>
      <t xml:space="preserve">LNG</t>
    </r>
    <r>
      <rPr>
        <sz val="9"/>
        <rFont val="Noto Sans CJK SC"/>
        <family val="2"/>
      </rPr>
      <t xml:space="preserve">를 수입했다</t>
    </r>
    <r>
      <rPr>
        <sz val="9"/>
        <rFont val="Arial"/>
        <family val="0"/>
        <charset val="1"/>
      </rPr>
      <t xml:space="preserve">. </t>
    </r>
    <r>
      <rPr>
        <sz val="9"/>
        <rFont val="Noto Sans CJK SC"/>
        <family val="2"/>
      </rPr>
      <t xml:space="preserve">이는 월간 수입량 기준으로 </t>
    </r>
    <r>
      <rPr>
        <sz val="9"/>
        <rFont val="Arial"/>
        <family val="0"/>
        <charset val="1"/>
      </rPr>
      <t xml:space="preserve">2021</t>
    </r>
    <r>
      <rPr>
        <sz val="9"/>
        <rFont val="Noto Sans CJK SC"/>
        <family val="2"/>
      </rPr>
      <t xml:space="preserve">년 </t>
    </r>
    <r>
      <rPr>
        <sz val="9"/>
        <rFont val="Arial"/>
        <family val="0"/>
        <charset val="1"/>
      </rPr>
      <t xml:space="preserve">11</t>
    </r>
    <r>
      <rPr>
        <sz val="9"/>
        <rFont val="Noto Sans CJK SC"/>
        <family val="2"/>
      </rPr>
      <t xml:space="preserve">월 이후 가장 많은 규모이며</t>
    </r>
    <r>
      <rPr>
        <sz val="9"/>
        <rFont val="Arial"/>
        <family val="0"/>
        <charset val="1"/>
      </rPr>
      <t xml:space="preserve">, 2022</t>
    </r>
    <r>
      <rPr>
        <sz val="9"/>
        <rFont val="Noto Sans CJK SC"/>
        <family val="2"/>
      </rPr>
      <t xml:space="preserve">년 </t>
    </r>
    <r>
      <rPr>
        <sz val="9"/>
        <rFont val="Arial"/>
        <family val="0"/>
        <charset val="1"/>
      </rPr>
      <t xml:space="preserve">2</t>
    </r>
    <r>
      <rPr>
        <sz val="9"/>
        <rFont val="Noto Sans CJK SC"/>
        <family val="2"/>
      </rPr>
      <t xml:space="preserve">월 우크라이나 전쟁 발발 이후로도 최대치다</t>
    </r>
    <r>
      <rPr>
        <sz val="9"/>
        <rFont val="Arial"/>
        <family val="0"/>
        <charset val="1"/>
      </rPr>
      <t xml:space="preserve">.</t>
    </r>
  </si>
  <si>
    <t xml:space="preserve">Burkina Faso-Corée du Nord : vers un renforcement des relations bilatérales</t>
  </si>
  <si>
    <t xml:space="preserve">En marge de la 81e Assemblée générale de l'ONU à New York, le ministre burkinabè des Affaires étrangères, Karamoko Jean Marie Traoré, s'est entretenu le 26 septembre 2026 avec le vice-ministre nord-coréen des Affaires étrangères, Kim Son Gyong. Les deux responsables ont affiché leur volonté de dynamiser la coopération bilatérale.</t>
  </si>
  <si>
    <t xml:space="preserve">Au cours de cette rencontre, les discussions ont porté sur le renforcement des liens d'amitié et sur l'identification de secteurs stratégiques pour une collaboration mutuellement bénéfique. Les deux parties ont convenu d'intensifier les échanges de délégations et de consolider les cadres de coopération existants.</t>
  </si>
  <si>
    <t xml:space="preserve">Australia's National Statement - United States, New York</t>
  </si>
  <si>
    <t xml:space="preserve">SpeechTranscript Friday 25 September 2026 United States, New York</t>
  </si>
  <si>
    <t xml:space="preserve">The Hon Anthony Albanese MP Prime Minister of Australia</t>
  </si>
  <si>
    <t xml:space="preserve">« Aucune implication dans la guerre » : la Corée du Sud ne déploiera pas de forces pour se battre à Ormuz</t>
  </si>
  <si>
    <t xml:space="preserve">2026-10-18</t>
  </si>
  <si>
    <r>
      <rPr>
        <sz val="9"/>
        <rFont val="Noto Sans CJK SC"/>
        <family val="2"/>
      </rPr>
      <t xml:space="preserve">야스쿠니 안 간 다카이치 </t>
    </r>
    <r>
      <rPr>
        <sz val="9"/>
        <rFont val="Arial"/>
        <family val="0"/>
        <charset val="1"/>
      </rPr>
      <t xml:space="preserve">"</t>
    </r>
    <r>
      <rPr>
        <sz val="9"/>
        <rFont val="Noto Sans CJK SC"/>
        <family val="2"/>
      </rPr>
      <t xml:space="preserve">멀리서 절했나</t>
    </r>
    <r>
      <rPr>
        <sz val="9"/>
        <rFont val="Arial"/>
        <family val="0"/>
        <charset val="1"/>
      </rPr>
      <t xml:space="preserve">" </t>
    </r>
    <r>
      <rPr>
        <sz val="9"/>
        <rFont val="Noto Sans CJK SC"/>
        <family val="2"/>
      </rPr>
      <t xml:space="preserve">묻자 침묵 </t>
    </r>
    <r>
      <rPr>
        <sz val="9"/>
        <rFont val="Arial"/>
        <family val="0"/>
        <charset val="1"/>
      </rPr>
      <t xml:space="preserve">- </t>
    </r>
    <r>
      <rPr>
        <sz val="9"/>
        <rFont val="Noto Sans CJK SC"/>
        <family val="2"/>
      </rPr>
      <t xml:space="preserve">파이낸셜뉴스</t>
    </r>
  </si>
  <si>
    <r>
      <rPr>
        <sz val="9"/>
        <rFont val="Noto Sans CJK SC"/>
        <family val="2"/>
      </rPr>
      <t xml:space="preserve">【파이낸셜뉴스 도쿄</t>
    </r>
    <r>
      <rPr>
        <sz val="9"/>
        <rFont val="Arial"/>
        <family val="0"/>
        <charset val="1"/>
      </rPr>
      <t xml:space="preserve">=</t>
    </r>
    <r>
      <rPr>
        <sz val="9"/>
        <rFont val="Noto Sans CJK SC"/>
        <family val="2"/>
      </rPr>
      <t xml:space="preserve">서혜진 특파원】 다카이치 사나에 일본 총리가 일본 추계 예대제를 맞아 야스쿠니신사 직접 참배를 자제하면서도 총리 명의의 공물 봉납은 이어갔다</t>
    </r>
    <r>
      <rPr>
        <sz val="9"/>
        <rFont val="Arial"/>
        <family val="0"/>
        <charset val="1"/>
      </rPr>
      <t xml:space="preserve">. </t>
    </r>
    <r>
      <rPr>
        <sz val="9"/>
        <rFont val="Noto Sans CJK SC"/>
        <family val="2"/>
      </rPr>
      <t xml:space="preserve">신사 밖에서 원격 참배를 했는지에 대해서는 답변을 거부했다</t>
    </r>
    <r>
      <rPr>
        <sz val="9"/>
        <rFont val="Arial"/>
        <family val="0"/>
        <charset val="1"/>
      </rPr>
      <t xml:space="preserve">. </t>
    </r>
    <r>
      <rPr>
        <sz val="9"/>
        <rFont val="Noto Sans CJK SC"/>
        <family val="2"/>
      </rPr>
      <t xml:space="preserve">다카이치 내각 각료들도 참배에 나서도 </t>
    </r>
    <r>
      <rPr>
        <sz val="9"/>
        <rFont val="Arial"/>
        <family val="0"/>
        <charset val="1"/>
      </rPr>
      <t xml:space="preserve">19</t>
    </r>
    <r>
      <rPr>
        <sz val="9"/>
        <rFont val="Noto Sans CJK SC"/>
        <family val="2"/>
      </rPr>
      <t xml:space="preserve">일에는 초당파 의원들의 집단 참배가 예정돼 있어 논란이 이어질 전망이다</t>
    </r>
    <r>
      <rPr>
        <sz val="9"/>
        <rFont val="Arial"/>
        <family val="0"/>
        <charset val="1"/>
      </rPr>
      <t xml:space="preserve">.</t>
    </r>
  </si>
  <si>
    <r>
      <rPr>
        <sz val="9"/>
        <rFont val="Arial"/>
        <family val="0"/>
        <charset val="1"/>
      </rPr>
      <t xml:space="preserve">18</t>
    </r>
    <r>
      <rPr>
        <sz val="9"/>
        <rFont val="Noto Sans CJK SC"/>
        <family val="2"/>
      </rPr>
      <t xml:space="preserve">일 산케이신문과 아사히신문</t>
    </r>
    <r>
      <rPr>
        <sz val="9"/>
        <rFont val="Arial"/>
        <family val="0"/>
        <charset val="1"/>
      </rPr>
      <t xml:space="preserve">, </t>
    </r>
    <r>
      <rPr>
        <sz val="9"/>
        <rFont val="Noto Sans CJK SC"/>
        <family val="2"/>
      </rPr>
      <t xml:space="preserve">니혼게이자이신문에 따르면 기우치 미노루 경제재정담당상은 전날 추계 예대제가 시작된 도쿄 야스쿠니신사를 참배했다</t>
    </r>
    <r>
      <rPr>
        <sz val="9"/>
        <rFont val="Arial"/>
        <family val="0"/>
        <charset val="1"/>
      </rPr>
      <t xml:space="preserve">. </t>
    </r>
    <r>
      <rPr>
        <sz val="9"/>
        <rFont val="Noto Sans CJK SC"/>
        <family val="2"/>
      </rPr>
      <t xml:space="preserve">그는 참배 후 취재진에게 </t>
    </r>
    <r>
      <rPr>
        <sz val="9"/>
        <rFont val="Arial"/>
        <family val="0"/>
        <charset val="1"/>
      </rPr>
      <t xml:space="preserve">"</t>
    </r>
    <r>
      <rPr>
        <sz val="9"/>
        <rFont val="Noto Sans CJK SC"/>
        <family val="2"/>
      </rPr>
      <t xml:space="preserve">조국을 위해 고귀한 생명을 희생한 영령들에게 애도와 존경의 뜻을 전했다</t>
    </r>
    <r>
      <rPr>
        <sz val="9"/>
        <rFont val="Arial"/>
        <family val="0"/>
        <charset val="1"/>
      </rPr>
      <t xml:space="preserve">"</t>
    </r>
    <r>
      <rPr>
        <sz val="9"/>
        <rFont val="Noto Sans CJK SC"/>
        <family val="2"/>
      </rPr>
      <t xml:space="preserve">며 </t>
    </r>
    <r>
      <rPr>
        <sz val="9"/>
        <rFont val="Arial"/>
        <family val="0"/>
        <charset val="1"/>
      </rPr>
      <t xml:space="preserve">"</t>
    </r>
    <r>
      <rPr>
        <sz val="9"/>
        <rFont val="Noto Sans CJK SC"/>
        <family val="2"/>
      </rPr>
      <t xml:space="preserve">다시는 전쟁하지 않겠다는 결의를 새롭게 했다</t>
    </r>
    <r>
      <rPr>
        <sz val="9"/>
        <rFont val="Arial"/>
        <family val="0"/>
        <charset val="1"/>
      </rPr>
      <t xml:space="preserve">"</t>
    </r>
    <r>
      <rPr>
        <sz val="9"/>
        <rFont val="Noto Sans CJK SC"/>
        <family val="2"/>
      </rPr>
      <t xml:space="preserve">고 밝혔다</t>
    </r>
    <r>
      <rPr>
        <sz val="9"/>
        <rFont val="Arial"/>
        <family val="0"/>
        <charset val="1"/>
      </rPr>
      <t xml:space="preserve">. </t>
    </r>
    <r>
      <rPr>
        <sz val="9"/>
        <rFont val="Noto Sans CJK SC"/>
        <family val="2"/>
      </rPr>
      <t xml:space="preserve">아울러 제물을 대신해 내는 돈인 다마구시료는 사비로 냈다고 설명했다</t>
    </r>
    <r>
      <rPr>
        <sz val="9"/>
        <rFont val="Arial"/>
        <family val="0"/>
        <charset val="1"/>
      </rPr>
      <t xml:space="preserve">.</t>
    </r>
  </si>
  <si>
    <t xml:space="preserve">Puluhan Juta Data Pelanggan Bocor di Jepang, AI Disorot</t>
  </si>
  <si>
    <t xml:space="preserve">Ilustrasi Artificial Intelligence - Freepik</t>
  </si>
  <si>
    <t xml:space="preserve">Harianjogja.com, JOGJA — Puluhan juta catatan pelanggan dilaporkan terdampak rangkaian serangan siber di Jepang, sementara sejumlah lembaga keuangan di Korea Selatan juga menghadapi insiden peretasan. Kasus-kasus ini menempatkan keamanan data pribadi sebagai perhatian utama, terutama ketika kecerdasan buatan (AI) berpotensi membantu pelaku menemukan kelemahan sistem dengan lebih cepat.</t>
  </si>
  <si>
    <t xml:space="preserve">Непорядочность Киева сближает Сеул с Москвой ::  В мире  / ВЗГЛЯД</t>
  </si>
  <si>
    <t xml:space="preserve">Tекст: Геворг Мирзаян</t>
  </si>
  <si>
    <t xml:space="preserve">Дипломатический конфликт, возникший в на минувшей неделе между Сеулом и Киевом, продолжает разгораться. Южнокорейцы отказываются спускать на тормозах ту дипломатическую подножку, которую президенту Ли Чжэ Мену устроило киевское руководство. И уже раздумывают, чем ответить.</t>
  </si>
  <si>
    <t xml:space="preserve">Seoul pushes back on Trump’s Alaska LNG claims, says investment must be commercially viable</t>
  </si>
  <si>
    <t xml:space="preserve">On Thursday, Seoul and Washington reached an agreement on the overall framework of a US$142.3 billion strategic investment plan in the US. Their agreement covers around 70% of the US$200 billion of funding that Korea pledged to invest in the US in exchange for lower tariffs in November 2025.</t>
  </si>
  <si>
    <t xml:space="preserve">But US President Donald Trump’s unilateral announcement that Korea has committed to invest the remaining US$50 billion in a liquefied natural gas (LNG) project in Alaska suggests that negotiators from the two sides will continue to squabble over the details of each project.</t>
  </si>
  <si>
    <t xml:space="preserve">Korea Płn.: MSZ: zgoda USA na okręt atomowy dla Seulu to niebezpieczny krok</t>
  </si>
  <si>
    <t xml:space="preserve">Mehrheit für eigene Atomwaffe: Weniger Südkoreaner sind für Vereinigung mit Nordkorea - n-tv.de</t>
  </si>
  <si>
    <t xml:space="preserve">Nur 39 Prozent Südkoreaner halten eine Wiedervereinigung mit dem Norden für notwendig, wie eine Umfrage zeigt - deutlich weniger als im ersten Erhebungsjahr 2007. Eine große Mehrheit hält Dialog und Kompromiss mit der nordkoreanischen Regierung für nicht möglich.</t>
  </si>
  <si>
    <t xml:space="preserve">Die Unterstützung für eine Wiedervereinigung mit Nordkorea nimmt in Südkorea einer Langzeitumfrage zufolge langfristig ab. Nur mehr 39 Prozent halten eine Vereinigung der beiden koreanischen Staaten für notwendig oder eher notwendig, wie aus einer neuen Umfrage des Meinungsforschungsinstituts Gallup Korea im Auftrag der renommierten Seoul National University hervorgeht. Vor fast 20 Jahren, im ersten Erhebungsjahr 2007, lag der Wert noch bei 63,8 Prozent. Bei Südkoreanern in ihren Zwanzigern ist der Wunsch nach einer Wiedervereinigung mit 25,2 Prozent am geringsten. Zugleich befürwortet eine Mehrheit der Befragten eine eigene Atombombe.</t>
  </si>
  <si>
    <t xml:space="preserve">North Korea fires two ballistic missiles in three hours: South Korean military - Taipei Times</t>
  </si>
  <si>
    <t xml:space="preserve">North Korea yesterday launched two missiles off its eastern coast, its second set of tests in about a week and days after Pyongyang accused the US of driving tensions on the Korean Peninsula through a series of military drills.</t>
  </si>
  <si>
    <t xml:space="preserve">Just three hours after launching a short-range ballistic missile toward the Sea of Japan (known as the “East Sea” in South Korea and the “East Sea of Korea” in North Korea) yesterday afternoon, North Korea fired another short-range ballistic missile, the South Korean Ministry of National Defense said.</t>
  </si>
  <si>
    <t xml:space="preserve">North Korea Says Nuclear Status 'Irreversible' After UN Atomic Agency Rebuke</t>
  </si>
  <si>
    <t xml:space="preserve">Published on Saturday, 19 Sep 2026 09:46 by EO</t>
  </si>
  <si>
    <t xml:space="preserve">SEOUL (Reuters) - North Korean leader Kim Jong Un's powerful sister, Kim Yo Jong, accused the International Atomic Energy Agency on Saturday 19 September 2026 of double standards after it adopted a resolution criticising Pyongyang's nuclear weapons programme. The IAEA's " biased viewpoint and double standards " are " the fundamental factor causing the collapse of the international nuclear non-proliferation system ", Kim Yo Jong said in a statement in state media KCNA. She said the agency had turned a blind eye to the " blatant nuclear proliferation activities " of the United States and South Korea's " nuclear submarine introduction plan ", while forcibly adopting a resolution against North Korea's " self-defensive and legitimate nuclear activities ". In a separate KCNA statement, North Korea's Foreign Ministry also dismissed the resolution, declaring that its status as a nuclear power is irreversible and backed by its nuclear deterrent. KCNA also said North Korean leader Kim Jong Un carried out a three-day inspection tour of major munitions factories this week. Kim said North Korea's efforts to modernise all components of its defence capability are bringing about " a significant change " in the composition and means of its armed forces, KCNA said. Analysts say North Korea has been overhauling its military with Russian help since the two countries signed a mutual defence treaty in 2024. They say combat experience gained by Pyongyang's troops deployed to the war in Ukraine has also aided the effort. Kim also gave a lecture to a propaganda workers' training session in Pyongyang on Friday 18 September 2026, KCNA reported, telling attendees modern " ideological warfare " needed to be innovative, creative and aggressive rather than repeating old methods.</t>
  </si>
  <si>
    <t xml:space="preserve">Coreia do Sul anuncia retirada de parte do pessoal da embaixada em Kiev – ECO</t>
  </si>
  <si>
    <t xml:space="preserve">A Coreia do Sul anunciou hoje a retirada de parte da equipa da embaixada em Kiev, face ao adensar da disputa diplomática sobre a transferência de prisioneiros de guerra norte-coreanos para Seul .</t>
  </si>
  <si>
    <t xml:space="preserve">“Após a ‘convocatória’ do embaixador [sul-coreano] na Ucrânia, medida que não gerou qualquer reação construtiva por parte das autoridades ucranianas, e perante a ameaça persistente de ataques aéreos em todo o território, o que torna difícil garantir a segurança da equipa, o Governo decidiu repatriar parte dos membros da sua missão diplomática”, declarou Park Doo-soon, porta-voz do Ministério dos Negócios Estrangeiros da Coreia do Sul.</t>
  </si>
  <si>
    <t xml:space="preserve">Machtdemonstration vor Gipfeltreffen: Nordkorea feuert ballistische Kurzstreckenraketen ab</t>
  </si>
  <si>
    <t xml:space="preserve">Stand: 21.09.2026, 15:26 Uhr</t>
  </si>
  <si>
    <t xml:space="preserve">Kommentare Drucken Teilen</t>
  </si>
  <si>
    <r>
      <rPr>
        <sz val="9"/>
        <rFont val="Noto Sans CJK SC"/>
        <family val="2"/>
      </rPr>
      <t xml:space="preserve">부산국제영화제</t>
    </r>
    <r>
      <rPr>
        <sz val="9"/>
        <rFont val="Arial"/>
        <family val="0"/>
        <charset val="1"/>
      </rPr>
      <t xml:space="preserve">, </t>
    </r>
    <r>
      <rPr>
        <sz val="9"/>
        <rFont val="Noto Sans CJK SC"/>
        <family val="2"/>
      </rPr>
      <t xml:space="preserve">관객 </t>
    </r>
    <r>
      <rPr>
        <sz val="9"/>
        <rFont val="Arial"/>
        <family val="0"/>
        <charset val="1"/>
      </rPr>
      <t xml:space="preserve">20</t>
    </r>
    <r>
      <rPr>
        <sz val="9"/>
        <rFont val="Noto Sans CJK SC"/>
        <family val="2"/>
      </rPr>
      <t xml:space="preserve">만 명 돌파…</t>
    </r>
    <r>
      <rPr>
        <sz val="9"/>
        <rFont val="Arial"/>
        <family val="0"/>
        <charset val="1"/>
      </rPr>
      <t xml:space="preserve">2015</t>
    </r>
    <r>
      <rPr>
        <sz val="9"/>
        <rFont val="Noto Sans CJK SC"/>
        <family val="2"/>
      </rPr>
      <t xml:space="preserve">년 이후 최고 기록</t>
    </r>
  </si>
  <si>
    <t xml:space="preserve">Fruit and vegetable exports poised to hit $10 billion in 2026</t>
  </si>
  <si>
    <t xml:space="preserve">La conquista del Everest revive - Diario de Yucatán</t>
  </si>
  <si>
    <t xml:space="preserve">TORONTO.— Apple Original Films presentó ayer en el Festival de Cine de Toronto la película “Tenzing”.</t>
  </si>
  <si>
    <t xml:space="preserve">Tom Hiddleston, Willem Dafoe y Genden Phuntsok protagonizan el filme, que reconstruye la expedición que consiguió alcanzar por primera vez la cima del Monte Everest en 1953.</t>
  </si>
  <si>
    <t xml:space="preserve">Michelle Yeoh Calls 'Blade Runner 2099' an 'Amazing Journey' at Busan</t>
  </si>
  <si>
    <t xml:space="preserve">By Naman Ramachandran</t>
  </si>
  <si>
    <t xml:space="preserve">Michelle Yeoh turned her attention to “ Blade Runner 2099 ” at a Busan International Film Festival press conference on Wednesday, before she flies to New York Comic Con to promote the Prime Video series.</t>
  </si>
  <si>
    <t xml:space="preserve">2026-10-04</t>
  </si>
  <si>
    <t xml:space="preserve">Rusija sa Sjevernom Korejom dijeli naprednu vojnu tehnologiju</t>
  </si>
  <si>
    <t xml:space="preserve">Ukrajinski predsjednik Volodimir Zelenski rekao je u nedjelju da vjeruje kako je Rusija podijelila tehnologiju mlaznih dronova sa svojim dugogodišnjim saveznikom Sjevernom Korejom .</t>
  </si>
  <si>
    <t xml:space="preserve">Proteklih tjedana, Rusija je naglo povećala korištenje mlaznih dronova protiv Ukrajine, koja zasad nema učinkovitih sredstava odvraćanja osim korištenja borbenih zrakoplova.</t>
  </si>
  <si>
    <r>
      <rPr>
        <sz val="9"/>
        <rFont val="Noto Sans CJK SC"/>
        <family val="2"/>
      </rPr>
      <t xml:space="preserve">취향 가득한 시장 </t>
    </r>
    <r>
      <rPr>
        <sz val="9"/>
        <rFont val="Arial"/>
        <family val="0"/>
        <charset val="1"/>
      </rPr>
      <t xml:space="preserve">'29CM DDP</t>
    </r>
    <r>
      <rPr>
        <sz val="9"/>
        <rFont val="Noto Sans CJK SC"/>
        <family val="2"/>
      </rPr>
      <t xml:space="preserve">디자인페어</t>
    </r>
    <r>
      <rPr>
        <sz val="9"/>
        <rFont val="Arial"/>
        <family val="0"/>
        <charset val="1"/>
      </rPr>
      <t xml:space="preserve">' </t>
    </r>
    <r>
      <rPr>
        <sz val="9"/>
        <rFont val="Noto Sans CJK SC"/>
        <family val="2"/>
      </rPr>
      <t xml:space="preserve">가보니 </t>
    </r>
    <r>
      <rPr>
        <sz val="9"/>
        <rFont val="Arial"/>
        <family val="0"/>
        <charset val="1"/>
      </rPr>
      <t xml:space="preserve">- ZDNet korea</t>
    </r>
  </si>
  <si>
    <r>
      <rPr>
        <sz val="9"/>
        <rFont val="Noto Sans CJK SC"/>
        <family val="2"/>
      </rPr>
      <t xml:space="preserve">국내 리빙 브랜드 </t>
    </r>
    <r>
      <rPr>
        <sz val="9"/>
        <rFont val="Arial"/>
        <family val="0"/>
        <charset val="1"/>
      </rPr>
      <t xml:space="preserve">100</t>
    </r>
    <r>
      <rPr>
        <sz val="9"/>
        <rFont val="Noto Sans CJK SC"/>
        <family val="2"/>
      </rPr>
      <t xml:space="preserve">여 곳 참여…올해는 테이블웨어 존재감 확대</t>
    </r>
  </si>
  <si>
    <r>
      <rPr>
        <sz val="9"/>
        <rFont val="Noto Sans CJK SC"/>
        <family val="2"/>
      </rPr>
      <t xml:space="preserve">유통</t>
    </r>
    <r>
      <rPr>
        <sz val="9"/>
        <rFont val="Arial"/>
        <family val="0"/>
        <charset val="1"/>
      </rPr>
      <t xml:space="preserve">/</t>
    </r>
    <r>
      <rPr>
        <sz val="9"/>
        <rFont val="Noto Sans CJK SC"/>
        <family val="2"/>
      </rPr>
      <t xml:space="preserve">생활</t>
    </r>
    <r>
      <rPr>
        <sz val="9"/>
        <rFont val="Arial"/>
        <family val="0"/>
        <charset val="1"/>
      </rPr>
      <t xml:space="preserve">/</t>
    </r>
    <r>
      <rPr>
        <sz val="9"/>
        <rFont val="Noto Sans CJK SC"/>
        <family val="2"/>
      </rPr>
      <t xml:space="preserve">문화 입력 </t>
    </r>
    <r>
      <rPr>
        <sz val="9"/>
        <rFont val="Arial"/>
        <family val="0"/>
        <charset val="1"/>
      </rPr>
      <t xml:space="preserve">:2026/10/14 18:01    </t>
    </r>
    <r>
      <rPr>
        <sz val="9"/>
        <rFont val="Noto Sans CJK SC"/>
        <family val="2"/>
      </rPr>
      <t xml:space="preserve">수정</t>
    </r>
    <r>
      <rPr>
        <sz val="9"/>
        <rFont val="Arial"/>
        <family val="0"/>
        <charset val="1"/>
      </rPr>
      <t xml:space="preserve">: 2026/10/14 21:12</t>
    </r>
  </si>
  <si>
    <t xml:space="preserve">South Korea Denies Ukrainian Report That It Eased Russia's Fuel Crisis</t>
  </si>
  <si>
    <t xml:space="preserve">Aerial top view of oil tanker ship at sea, Crude oil tanker industrial, Oil tanker import export business logistic, Industrial crude oil and fuel tanker ship deep blue open ocean sea.</t>
  </si>
  <si>
    <t xml:space="preserve">SEOUL, Oct 7 (Reuters) – South Korea’s presidential office on Wednesday dismissed a Ukrainian report that Russia has imported petroleum products from South Korean ports, calling the accusation inappropriate.</t>
  </si>
  <si>
    <r>
      <rPr>
        <sz val="9"/>
        <rFont val="Arial"/>
        <family val="0"/>
        <charset val="1"/>
      </rPr>
      <t xml:space="preserve">"</t>
    </r>
    <r>
      <rPr>
        <sz val="9"/>
        <rFont val="Noto Sans CJK SC"/>
        <family val="2"/>
      </rPr>
      <t xml:space="preserve">한반도 중립화는 평화 지속할 제도적 기반 마련 구상</t>
    </r>
    <r>
      <rPr>
        <sz val="9"/>
        <rFont val="Arial"/>
        <family val="0"/>
        <charset val="1"/>
      </rPr>
      <t xml:space="preserve">"</t>
    </r>
  </si>
  <si>
    <t xml:space="preserve">2026-10-21</t>
  </si>
  <si>
    <t xml:space="preserve">EssilorLuxottica's smart glasses boom runs into tougher regulatory scrutiny</t>
  </si>
  <si>
    <r>
      <rPr>
        <sz val="9"/>
        <rFont val="Noto Sans CJK SC"/>
        <family val="2"/>
      </rPr>
      <t xml:space="preserve">‘한국형 원전’ 포함 원전 </t>
    </r>
    <r>
      <rPr>
        <sz val="9"/>
        <rFont val="Arial"/>
        <family val="0"/>
        <charset val="1"/>
      </rPr>
      <t xml:space="preserve">8</t>
    </r>
    <r>
      <rPr>
        <sz val="9"/>
        <rFont val="Noto Sans CJK SC"/>
        <family val="2"/>
      </rPr>
      <t xml:space="preserve">기 추진  추가비용</t>
    </r>
    <r>
      <rPr>
        <sz val="9"/>
        <rFont val="Arial"/>
        <family val="0"/>
        <charset val="1"/>
      </rPr>
      <t xml:space="preserve">·</t>
    </r>
    <r>
      <rPr>
        <sz val="9"/>
        <rFont val="Noto Sans CJK SC"/>
        <family val="2"/>
      </rPr>
      <t xml:space="preserve">인력확보 최대 걸림돌 </t>
    </r>
    <r>
      <rPr>
        <sz val="9"/>
        <rFont val="Arial"/>
        <family val="0"/>
        <charset val="1"/>
      </rPr>
      <t xml:space="preserve">[</t>
    </r>
    <r>
      <rPr>
        <sz val="9"/>
        <rFont val="Noto Sans CJK SC"/>
        <family val="2"/>
      </rPr>
      <t xml:space="preserve">대미투자 과제</t>
    </r>
    <r>
      <rPr>
        <sz val="9"/>
        <rFont val="Arial"/>
        <family val="0"/>
        <charset val="1"/>
      </rPr>
      <t xml:space="preserve">] - </t>
    </r>
    <r>
      <rPr>
        <sz val="9"/>
        <rFont val="Noto Sans CJK SC"/>
        <family val="2"/>
      </rPr>
      <t xml:space="preserve">헤럴드경제</t>
    </r>
  </si>
  <si>
    <t xml:space="preserve">Pekín y Seúl protestan por la ofrenda enviada por Takaichi al polémico santuario de Yasukuni</t>
  </si>
  <si>
    <t xml:space="preserve">El Gobierno de Corea del Sur y China han expresado este sábado su rechazo a la ofrenda enviada por la primera ministra japonesa, Sanae Takaichi, al santuario Yasukuni, ubicado en Tokio y considerado como un símbolo polémico del pasado imperialista de Japón.</t>
  </si>
  <si>
    <t xml:space="preserve">Takaichi ha enviado la ofrenda en calidad de primera ministra con motivo del inicio del otoño que celebra durante tres días este santuario bélico, el cual rinde homenaje a más de dos millones de japoneses fallecidos en las guerras, entre los que se encuentran 14 criminales de guerra condenados por tribunales internacionales debido a su participación durante la Segunda Guerra Mundial.</t>
  </si>
  <si>
    <t xml:space="preserve">Fuel from South Korea being shipped to Russia as Ukraine war grinds on - AOL</t>
  </si>
  <si>
    <t xml:space="preserve">Fuel is being shipped from South Korea to Russia via sanctioned tankers as Moscow scrambles for supplies amid the war in Ukraine, a move one expert said “undermines” Seoul’s public backing for Kyiv.</t>
  </si>
  <si>
    <t xml:space="preserve">Guardian analysis of port records and ship-tracking data found that in July and August over 176,000 tonnes of fuel, mostly diesel, was loaded at several South Korean ports on to seven tankers that made 14 voyages to Russia’s far east.</t>
  </si>
  <si>
    <r>
      <rPr>
        <sz val="9"/>
        <rFont val="Noto Sans CJK SC"/>
        <family val="2"/>
      </rPr>
      <t xml:space="preserve">얀 르쿤 “실세계 이해하는 </t>
    </r>
    <r>
      <rPr>
        <sz val="9"/>
        <rFont val="Arial"/>
        <family val="0"/>
        <charset val="1"/>
      </rPr>
      <t xml:space="preserve">AI </t>
    </r>
    <r>
      <rPr>
        <sz val="9"/>
        <rFont val="Noto Sans CJK SC"/>
        <family val="2"/>
      </rPr>
      <t xml:space="preserve">필요…韓 제조 경쟁력</t>
    </r>
    <r>
      <rPr>
        <sz val="9"/>
        <rFont val="Arial"/>
        <family val="0"/>
        <charset val="1"/>
      </rPr>
      <t xml:space="preserve">, </t>
    </r>
    <r>
      <rPr>
        <sz val="9"/>
        <rFont val="Noto Sans CJK SC"/>
        <family val="2"/>
      </rPr>
      <t xml:space="preserve">세계와 연결해야” </t>
    </r>
    <r>
      <rPr>
        <sz val="9"/>
        <rFont val="Arial"/>
        <family val="0"/>
        <charset val="1"/>
      </rPr>
      <t xml:space="preserve">- </t>
    </r>
    <r>
      <rPr>
        <sz val="9"/>
        <rFont val="Noto Sans CJK SC"/>
        <family val="2"/>
      </rPr>
      <t xml:space="preserve">디지털데일리</t>
    </r>
  </si>
  <si>
    <r>
      <rPr>
        <sz val="9"/>
        <rFont val="Noto Sans CJK SC"/>
        <family val="2"/>
      </rPr>
      <t xml:space="preserve">얀 르쿤 “실세계 이해하는 </t>
    </r>
    <r>
      <rPr>
        <sz val="9"/>
        <rFont val="Arial"/>
        <family val="0"/>
        <charset val="1"/>
      </rPr>
      <t xml:space="preserve">AI </t>
    </r>
    <r>
      <rPr>
        <sz val="9"/>
        <rFont val="Noto Sans CJK SC"/>
        <family val="2"/>
      </rPr>
      <t xml:space="preserve">필요…韓 제조 경쟁력</t>
    </r>
    <r>
      <rPr>
        <sz val="9"/>
        <rFont val="Arial"/>
        <family val="0"/>
        <charset val="1"/>
      </rPr>
      <t xml:space="preserve">, </t>
    </r>
    <r>
      <rPr>
        <sz val="9"/>
        <rFont val="Noto Sans CJK SC"/>
        <family val="2"/>
      </rPr>
      <t xml:space="preserve">세계와 연결해야”</t>
    </r>
  </si>
  <si>
    <r>
      <rPr>
        <sz val="9"/>
        <rFont val="Noto Sans CJK SC"/>
        <family val="2"/>
      </rPr>
      <t xml:space="preserve">르쿤</t>
    </r>
    <r>
      <rPr>
        <sz val="9"/>
        <rFont val="Arial"/>
        <family val="0"/>
        <charset val="1"/>
      </rPr>
      <t xml:space="preserve">·</t>
    </r>
    <r>
      <rPr>
        <sz val="9"/>
        <rFont val="Noto Sans CJK SC"/>
        <family val="2"/>
      </rPr>
      <t xml:space="preserve">응우옌</t>
    </r>
    <r>
      <rPr>
        <sz val="9"/>
        <rFont val="Arial"/>
        <family val="0"/>
        <charset val="1"/>
      </rPr>
      <t xml:space="preserve">·</t>
    </r>
    <r>
      <rPr>
        <sz val="9"/>
        <rFont val="Noto Sans CJK SC"/>
        <family val="2"/>
      </rPr>
      <t xml:space="preserve">아눈지아타</t>
    </r>
    <r>
      <rPr>
        <sz val="9"/>
        <rFont val="Arial"/>
        <family val="0"/>
        <charset val="1"/>
      </rPr>
      <t xml:space="preserve">·</t>
    </r>
    <r>
      <rPr>
        <sz val="9"/>
        <rFont val="Noto Sans CJK SC"/>
        <family val="2"/>
      </rPr>
      <t xml:space="preserve">지미 리</t>
    </r>
    <r>
      <rPr>
        <sz val="9"/>
        <rFont val="Arial"/>
        <family val="0"/>
        <charset val="1"/>
      </rPr>
      <t xml:space="preserve">, </t>
    </r>
    <r>
      <rPr>
        <sz val="9"/>
        <rFont val="Noto Sans CJK SC"/>
        <family val="2"/>
      </rPr>
      <t xml:space="preserve">서울서 산업</t>
    </r>
    <r>
      <rPr>
        <sz val="9"/>
        <rFont val="Arial"/>
        <family val="0"/>
        <charset val="1"/>
      </rPr>
      <t xml:space="preserve">AI </t>
    </r>
    <r>
      <rPr>
        <sz val="9"/>
        <rFont val="Noto Sans CJK SC"/>
        <family val="2"/>
      </rPr>
      <t xml:space="preserve">글로벌 협력 논의</t>
    </r>
  </si>
  <si>
    <t xml:space="preserve">Pentagon weighs pulling at least 25,000 US troops from Europe: NBC report</t>
  </si>
  <si>
    <t xml:space="preserve">Possible drawdown could reach 40,000 troops as Pentagon reviews US military presence on continent</t>
  </si>
  <si>
    <t xml:space="preserve">The Pentagon is considering withdrawing about 25,000 or more US troops from Europe, potentially reducing the American military presence on the continent by nearly one-third, NBC News reported on Thursday.</t>
  </si>
  <si>
    <t xml:space="preserve">S. Korea, US, Japan hold consultations over N. Korea’s latest missile launches</t>
  </si>
  <si>
    <t xml:space="preserve">Best K-dramas to watch in October 2026: From Kim Yoo-jung’s historical spy romance, 100 Days of Deception to Doctor X: Mafia in White - The Economic Times</t>
  </si>
  <si>
    <t xml:space="preserve">​Best K-dramas to watch in October 2026: 100 days of deception (Image: What's on Netflix)</t>
  </si>
  <si>
    <t xml:space="preserve">(Catch all the Business News , Breaking News , and Latest News Updates on The Economic Times .)</t>
  </si>
  <si>
    <t xml:space="preserve">Ambasádorka v USA pripustila obmedzenie komunikácie s Bielym domom</t>
  </si>
  <si>
    <t xml:space="preserve">Washington 12. októbra (TASR) - Juhokórejská veľvyslankyňa v USA Kang Kjong-hwa v pondelok pripustila, že komunikácia s Bielym domom má určité obmedzenia. TASR o tom informuje na základe správy agentúry Jonhap.</t>
  </si>
  <si>
    <r>
      <rPr>
        <sz val="9"/>
        <rFont val="Noto Sans CJK SC"/>
        <family val="2"/>
      </rPr>
      <t xml:space="preserve">대한항공 </t>
    </r>
    <r>
      <rPr>
        <sz val="9"/>
        <rFont val="Arial"/>
        <family val="0"/>
        <charset val="1"/>
      </rPr>
      <t xml:space="preserve">60</t>
    </r>
    <r>
      <rPr>
        <sz val="9"/>
        <rFont val="Noto Sans CJK SC"/>
        <family val="2"/>
      </rPr>
      <t xml:space="preserve">조 ‘빅딜’…통합 기단 바꾸고 한미 경제협력 힘 보탠다</t>
    </r>
  </si>
  <si>
    <r>
      <rPr>
        <sz val="9"/>
        <rFont val="Noto Sans CJK SC"/>
        <family val="2"/>
      </rPr>
      <t xml:space="preserve">등록 </t>
    </r>
    <r>
      <rPr>
        <sz val="9"/>
        <rFont val="Arial"/>
        <family val="0"/>
        <charset val="1"/>
      </rPr>
      <t xml:space="preserve">2026-09-16 </t>
    </r>
    <r>
      <rPr>
        <sz val="9"/>
        <rFont val="Noto Sans CJK SC"/>
        <family val="2"/>
      </rPr>
      <t xml:space="preserve">오후 </t>
    </r>
    <r>
      <rPr>
        <sz val="9"/>
        <rFont val="Arial"/>
        <family val="0"/>
        <charset val="1"/>
      </rPr>
      <t xml:space="preserve">7:09:48</t>
    </r>
  </si>
  <si>
    <r>
      <rPr>
        <sz val="9"/>
        <rFont val="Noto Sans CJK SC"/>
        <family val="2"/>
      </rPr>
      <t xml:space="preserve">수정 </t>
    </r>
    <r>
      <rPr>
        <sz val="9"/>
        <rFont val="Arial"/>
        <family val="0"/>
        <charset val="1"/>
      </rPr>
      <t xml:space="preserve">2026-09-16 </t>
    </r>
    <r>
      <rPr>
        <sz val="9"/>
        <rFont val="Noto Sans CJK SC"/>
        <family val="2"/>
      </rPr>
      <t xml:space="preserve">오후 </t>
    </r>
    <r>
      <rPr>
        <sz val="9"/>
        <rFont val="Arial"/>
        <family val="0"/>
        <charset val="1"/>
      </rPr>
      <t xml:space="preserve">7:37:37</t>
    </r>
  </si>
  <si>
    <t xml:space="preserve">Korea Południowa zaprzecza doniesieniom o dostawach paliwa do Rosji: „przestrzegamy sankcji”</t>
  </si>
  <si>
    <t xml:space="preserve">Resort dyplomacji Korei Płd. oświadczył w czwartek, że Seul ściśle przestrzega kontroli eksportu wobec Rosji i nie ma potwierdzenia komercyjnych dostaw produktów naftowych do tego kraju. Komunikat jest reakcją na doniesienia brytyjskich mediów o rzekomym transporcie paliw na rosyjski Daleki Wschód.</t>
  </si>
  <si>
    <t xml:space="preserve">"Będziemy nadal rygorystycznie wdrażać kontrole eksportu wobec Rosji oraz wzmacniać wysiłki na rzecz inspekcji i zapobiegania obchodzeniu restrykcji jako odpowiedzialny członek społeczności międzynarodowej" - przekazano w wyjaśnieniu opublikowanym wspólnie przez MSZ , ministerstwo przemysłu oraz agencję celną .</t>
  </si>
  <si>
    <r>
      <rPr>
        <sz val="9"/>
        <rFont val="Noto Sans CJK SC"/>
        <family val="2"/>
      </rPr>
      <t xml:space="preserve">젠슨 황</t>
    </r>
    <r>
      <rPr>
        <sz val="9"/>
        <rFont val="Arial"/>
        <family val="0"/>
        <charset val="1"/>
      </rPr>
      <t xml:space="preserve">, ‘</t>
    </r>
    <r>
      <rPr>
        <sz val="9"/>
        <rFont val="Noto Sans CJK SC"/>
        <family val="2"/>
      </rPr>
      <t xml:space="preserve">한미관계 기여’ 밴플리트상…이재용</t>
    </r>
    <r>
      <rPr>
        <sz val="9"/>
        <rFont val="Arial"/>
        <family val="0"/>
        <charset val="1"/>
      </rPr>
      <t xml:space="preserve">·</t>
    </r>
    <r>
      <rPr>
        <sz val="9"/>
        <rFont val="Noto Sans CJK SC"/>
        <family val="2"/>
      </rPr>
      <t xml:space="preserve">최태원도 한자리 </t>
    </r>
    <r>
      <rPr>
        <sz val="9"/>
        <rFont val="Arial"/>
        <family val="0"/>
        <charset val="1"/>
      </rPr>
      <t xml:space="preserve">- </t>
    </r>
    <r>
      <rPr>
        <sz val="9"/>
        <rFont val="Noto Sans CJK SC"/>
        <family val="2"/>
      </rPr>
      <t xml:space="preserve">미주 한국일보</t>
    </r>
  </si>
  <si>
    <r>
      <rPr>
        <sz val="9"/>
        <rFont val="Noto Sans CJK SC"/>
        <family val="2"/>
      </rPr>
      <t xml:space="preserve">▶ 코리아소사이어티 “한미 경제협력 핵심 </t>
    </r>
    <r>
      <rPr>
        <sz val="9"/>
        <rFont val="Arial"/>
        <family val="0"/>
        <charset val="1"/>
      </rPr>
      <t xml:space="preserve">AI·</t>
    </r>
    <r>
      <rPr>
        <sz val="9"/>
        <rFont val="Noto Sans CJK SC"/>
        <family val="2"/>
      </rPr>
      <t xml:space="preserve">반도체서 혁신적 기여”</t>
    </r>
  </si>
  <si>
    <t xml:space="preserve">Ukraine forces becoming more agile under new commander-in-chief Drapatyi, who is also drafting a ‘grand strategy’ for the war (Ukraine Battlefield update, Day 1,686) – EUobserver</t>
  </si>
  <si>
    <t xml:space="preserve">Every day, the Ukraine Battlefield update newsletter offers a clear look at how the war is unfolding on the ground. Subscribe for free here to get the full text delivered to your inbox.</t>
  </si>
  <si>
    <t xml:space="preserve">Two and a half months have passed since major general Mykhailo Drapatyi became commander-in-chief of Ukraine’s armed forces. That may not be enough time for major reforms. But in recent days, articles have begun to appear about how the new commander is trying to change the Ukrainian army.</t>
  </si>
  <si>
    <r>
      <rPr>
        <sz val="9"/>
        <rFont val="Noto Sans CJK SC"/>
        <family val="2"/>
      </rPr>
      <t xml:space="preserve">김포공항</t>
    </r>
    <r>
      <rPr>
        <sz val="9"/>
        <rFont val="Arial"/>
        <family val="0"/>
        <charset val="1"/>
      </rPr>
      <t xml:space="preserve">~</t>
    </r>
    <r>
      <rPr>
        <sz val="9"/>
        <rFont val="Noto Sans CJK SC"/>
        <family val="2"/>
      </rPr>
      <t xml:space="preserve">한강변 병원 연결하는 </t>
    </r>
    <r>
      <rPr>
        <sz val="9"/>
        <rFont val="Arial"/>
        <family val="0"/>
        <charset val="1"/>
      </rPr>
      <t xml:space="preserve">UAM </t>
    </r>
    <r>
      <rPr>
        <sz val="9"/>
        <rFont val="Noto Sans CJK SC"/>
        <family val="2"/>
      </rPr>
      <t xml:space="preserve">뜬다 </t>
    </r>
    <r>
      <rPr>
        <sz val="9"/>
        <rFont val="Arial"/>
        <family val="0"/>
        <charset val="1"/>
      </rPr>
      <t xml:space="preserve">- </t>
    </r>
    <r>
      <rPr>
        <sz val="9"/>
        <rFont val="Noto Sans CJK SC"/>
        <family val="2"/>
      </rPr>
      <t xml:space="preserve">헤럴드경제</t>
    </r>
  </si>
  <si>
    <t xml:space="preserve">بعد 12 عاماً على تشييده.. افتتاح جسر جديد يربط الصين بكوريا الشمالية</t>
  </si>
  <si>
    <t xml:space="preserve">افتُتح، اليوم،  جسر جديد يربط بين الصين وكوريا الشمالية بعد 12 عاما على تشييده، في مؤشر جديد على تعميق العلاقات الاقتصادية بين بكين وبيونغ يانغ.</t>
  </si>
  <si>
    <t xml:space="preserve">وتجمع مئات الأشخاص على الجانب الصيني لمناسبة افتتاح جسر نهر يالو الجديد المخصص للمركبات والذي يبلغ طوله 3026 مترا.</t>
  </si>
  <si>
    <t xml:space="preserve">В Хабаровске вдове умершего моряка компенсировали 190 тысяч рублей - Российская газета</t>
  </si>
  <si>
    <t xml:space="preserve">Возвращаясь из Республики Корея в Россию, мужчина почувствовал себя плохо. Во Владивостоке его госпитализировали. В больнице он умер.</t>
  </si>
  <si>
    <t xml:space="preserve">Моряк был зарегистрирован в Краснодарском крае. Его вдова обратилась к судовладельцу с просьбой компенсировать расходы, связанные с репатриацией. После отказа она решила защитить свои права с помощью контролирующих органов.</t>
  </si>
  <si>
    <t xml:space="preserve">Đồng Tháp links digital transformation with agricultural development</t>
  </si>
  <si>
    <t xml:space="preserve">Trump administration kicks off review for Ambler mining district project | Local News | newsminer.com</t>
  </si>
  <si>
    <t xml:space="preserve">The Trump administration announced last week that it will open a 30-month environmental review of a proposed open-pit copper and zinc mine, which would be accessed by the controversial 211-mile Ambler Road project.</t>
  </si>
  <si>
    <t xml:space="preserve">The proposed Arctic Project mine would be developed northwest of Kobuk and Shungnak, according to the U.S. Army Corps of Engineers notice of intent. USACE opened a 45-day public comment period to allow residents to weight in on the proposed mine and environmental review.</t>
  </si>
  <si>
    <t xml:space="preserve">Coreea de Nord refuză dezarmarea nucleară. Phenianul păstrează armele nucleare pentru totdeauna</t>
  </si>
  <si>
    <t xml:space="preserve">Coreea de Nord va păstra arma nucleară pentru totdeauna, conform declarațiilor oficiale transmise de la nivelul Ministerului Afacerilor Externe de la Phenian.</t>
  </si>
  <si>
    <t xml:space="preserve">O declarație a apărut într-un comunicat difuzat joi de agenția oficială de presă de stat nord-coreeană (KCNA), citată de koreatimes.co.kr . Documentul subliniază voința de neclintit a statului asiatic de a-și menține și proteja armele nucleare.</t>
  </si>
  <si>
    <r>
      <rPr>
        <sz val="9"/>
        <rFont val="Noto Sans CJK SC"/>
        <family val="2"/>
      </rPr>
      <t xml:space="preserve">트럼프 압박까지…대미투자</t>
    </r>
    <r>
      <rPr>
        <sz val="9"/>
        <rFont val="Arial"/>
        <family val="0"/>
        <charset val="1"/>
      </rPr>
      <t xml:space="preserve">, </t>
    </r>
    <r>
      <rPr>
        <sz val="9"/>
        <rFont val="Noto Sans CJK SC"/>
        <family val="2"/>
      </rPr>
      <t xml:space="preserve">알래스카 </t>
    </r>
    <r>
      <rPr>
        <sz val="9"/>
        <rFont val="Arial"/>
        <family val="0"/>
        <charset val="1"/>
      </rPr>
      <t xml:space="preserve">LNG </t>
    </r>
    <r>
      <rPr>
        <sz val="9"/>
        <rFont val="Noto Sans CJK SC"/>
        <family val="2"/>
      </rPr>
      <t xml:space="preserve">암초에 산 넘어 산 </t>
    </r>
    <r>
      <rPr>
        <sz val="9"/>
        <rFont val="Arial"/>
        <family val="0"/>
        <charset val="1"/>
      </rPr>
      <t xml:space="preserve">- </t>
    </r>
    <r>
      <rPr>
        <sz val="9"/>
        <rFont val="Noto Sans CJK SC"/>
        <family val="2"/>
      </rPr>
      <t xml:space="preserve">파이낸셜뉴스</t>
    </r>
  </si>
  <si>
    <r>
      <rPr>
        <sz val="9"/>
        <rFont val="Noto Sans CJK SC"/>
        <family val="2"/>
      </rPr>
      <t xml:space="preserve">트럼프 압박까지…대미투자</t>
    </r>
    <r>
      <rPr>
        <sz val="9"/>
        <rFont val="Arial"/>
        <family val="0"/>
        <charset val="1"/>
      </rPr>
      <t xml:space="preserve">, </t>
    </r>
    <r>
      <rPr>
        <sz val="9"/>
        <rFont val="Noto Sans CJK SC"/>
        <family val="2"/>
      </rPr>
      <t xml:space="preserve">알래스카 </t>
    </r>
    <r>
      <rPr>
        <sz val="9"/>
        <rFont val="Arial"/>
        <family val="0"/>
        <charset val="1"/>
      </rPr>
      <t xml:space="preserve">LNG </t>
    </r>
    <r>
      <rPr>
        <sz val="9"/>
        <rFont val="Noto Sans CJK SC"/>
        <family val="2"/>
      </rPr>
      <t xml:space="preserve">암초에 산 넘어 산 한국 참여 밀어붙이는 트럼프…한미 온도 차에 협상 난항 </t>
    </r>
    <r>
      <rPr>
        <sz val="9"/>
        <rFont val="Arial"/>
        <family val="0"/>
        <charset val="1"/>
      </rPr>
      <t xml:space="preserve">1</t>
    </r>
    <r>
      <rPr>
        <sz val="9"/>
        <rFont val="Noto Sans CJK SC"/>
        <family val="2"/>
      </rPr>
      <t xml:space="preserve">호 텍사스 가스발전</t>
    </r>
    <r>
      <rPr>
        <sz val="9"/>
        <rFont val="Arial"/>
        <family val="0"/>
        <charset val="1"/>
      </rPr>
      <t xml:space="preserve">·'</t>
    </r>
    <r>
      <rPr>
        <sz val="9"/>
        <rFont val="Noto Sans CJK SC"/>
        <family val="2"/>
      </rPr>
      <t xml:space="preserve">큰 틀 합의</t>
    </r>
    <r>
      <rPr>
        <sz val="9"/>
        <rFont val="Arial"/>
        <family val="0"/>
        <charset val="1"/>
      </rPr>
      <t xml:space="preserve">' </t>
    </r>
    <r>
      <rPr>
        <sz val="9"/>
        <rFont val="Noto Sans CJK SC"/>
        <family val="2"/>
      </rPr>
      <t xml:space="preserve">원전 사업도 쟁점 남아</t>
    </r>
  </si>
  <si>
    <r>
      <rPr>
        <sz val="9"/>
        <rFont val="Arial"/>
        <family val="0"/>
        <charset val="1"/>
      </rPr>
      <t xml:space="preserve">(</t>
    </r>
    <r>
      <rPr>
        <sz val="9"/>
        <rFont val="Noto Sans CJK SC"/>
        <family val="2"/>
      </rPr>
      <t xml:space="preserve">서울</t>
    </r>
    <r>
      <rPr>
        <sz val="9"/>
        <rFont val="Arial"/>
        <family val="0"/>
        <charset val="1"/>
      </rPr>
      <t xml:space="preserve">=</t>
    </r>
    <r>
      <rPr>
        <sz val="9"/>
        <rFont val="Noto Sans CJK SC"/>
        <family val="2"/>
      </rPr>
      <t xml:space="preserve">연합뉴스</t>
    </r>
    <r>
      <rPr>
        <sz val="9"/>
        <rFont val="Arial"/>
        <family val="0"/>
        <charset val="1"/>
      </rPr>
      <t xml:space="preserve">) </t>
    </r>
    <r>
      <rPr>
        <sz val="9"/>
        <rFont val="Noto Sans CJK SC"/>
        <family val="2"/>
      </rPr>
      <t xml:space="preserve">장보인 기자 </t>
    </r>
    <r>
      <rPr>
        <sz val="9"/>
        <rFont val="Arial"/>
        <family val="0"/>
        <charset val="1"/>
      </rPr>
      <t xml:space="preserve">= </t>
    </r>
    <r>
      <rPr>
        <sz val="9"/>
        <rFont val="Noto Sans CJK SC"/>
        <family val="2"/>
      </rPr>
      <t xml:space="preserve">한국의 대미투자가 이달 초 양국의 프로젝트 공식 발표와 함께 본격적으로 시동을 걸었지만 출발부터 암초를 만났다</t>
    </r>
    <r>
      <rPr>
        <sz val="9"/>
        <rFont val="Arial"/>
        <family val="0"/>
        <charset val="1"/>
      </rPr>
      <t xml:space="preserve">.</t>
    </r>
  </si>
  <si>
    <t xml:space="preserve">North Korea fires missiles after Seoul's hypersonic test</t>
  </si>
  <si>
    <t xml:space="preserve">North Korea fired multiple ballistic missiles into the sea on Monday morning, South Korea's military said.</t>
  </si>
  <si>
    <t xml:space="preserve">South Korea's Joint Chiefs of Staff said various types of missiles were fired from the Pyongyang area. One of them flew more than 900 kilometers (559 miles) before falling into the sea.</t>
  </si>
  <si>
    <t xml:space="preserve">Exploring National Identity and Historical Memory in Japan-Korea Relations: Recommended Readings</t>
  </si>
  <si>
    <t xml:space="preserve">For Japan and South Korea, history is not merely a record of events. It is also a political resource, a national inheritance, and occasionally a diplomatic weapon.</t>
  </si>
  <si>
    <t xml:space="preserve">For recommended reading on Japan–Korea relations, the four books discussed below offer different entry points: Kan Kimura’s The Burden of the Past for historical disputes and diplomacy; Michael J. Seth’s A Concise History of Korea for broader historical context; and Anti-Japan Tribalism and The Comfort Women Hoax for controversial revisionist arguments that require critical reading. This article focuses on historical memory and Japan–South Korea relations rather than offering a comprehensive survey of the entire relationship.</t>
  </si>
  <si>
    <t xml:space="preserve">Japan, U.S., South Korea stand ‘firmly against economic coercion’, make announcement after New York talks</t>
  </si>
  <si>
    <t xml:space="preserve">Tom Cruise Took A Break From His Digger Press Tour To Geek Out Over Jujutsu Kaisen At MAPPA EXPO</t>
  </si>
  <si>
    <t xml:space="preserve">Tom Cruise has spent decades doing his own stunts, but on his latest trip to Japan he found time to study a very different kind of action. While promoting Digger , his new film with Oscar-winning director Alejandro G. Iñárritu , Cruise visited the MAPPA EXPO 15th Anniversary exhibition in Tokyo, celebrating the studio behind Jujutsu Kaisen , Chainsaw Man , and the final season of Attack on Titan .</t>
  </si>
  <si>
    <t xml:space="preserve">MAPPA revealed the visit last week (October 9th), thanking both men for stopping by and confirming that animator Tadashi Hiramatsu gave them a Digger illustration as a gift:</t>
  </si>
  <si>
    <t xml:space="preserve">Zuid-Korea meldt afvuren ballistische raketten richting zee door Noord-Korea</t>
  </si>
  <si>
    <t xml:space="preserve">Noord-Korea heeft vanaf de oostkust van het land ballistische raketten afgevuurd richting de Japanse Zee, meldt het Zuid-Koreaanse leger. De raketten zouden een afstand van zo'n 250 kilometer hebben afgelegd.</t>
  </si>
  <si>
    <t xml:space="preserve">Het kantoor van de Zuid-Koreaanse president roept Noord-Korea op om "onmiddellijk" te stoppen met het lanceren van de ballistische raketten en spreekt van schendingen van de VN-veiligheidsresoluties.</t>
  </si>
  <si>
    <t xml:space="preserve">Ким Џонг-ун го надгледувал лансирањето на хиперсонична ракета</t>
  </si>
  <si>
    <t xml:space="preserve">Ракетата беше лансирана во Источното Море како дел од обуката за ракетни единици кои ракуваат со „хиперсоничен стратешки систем на оружје“, соопшти KCNA. Ким рече дека способноста за контранапад на севернокорејската војска е клучна и дека развојот на стратешко оружје е неопходен за да се заштити националната безбедност и стабилност во сегашната геополитичка средина.</t>
  </si>
  <si>
    <t xml:space="preserve">„Мора да продолжиме да вложуваме одговорни и непрестајни напори за непријателот постојано да може да ја препознае сигурноста и смртоносноста на нашите стратешки офанзивни средства“, го цитираше KCNA Ким, додавајќи дека тоа е средство за одвраќање.</t>
  </si>
  <si>
    <r>
      <rPr>
        <sz val="9"/>
        <rFont val="Arial"/>
        <family val="0"/>
        <charset val="1"/>
      </rPr>
      <t xml:space="preserve">AI </t>
    </r>
    <r>
      <rPr>
        <sz val="9"/>
        <rFont val="Noto Sans CJK SC"/>
        <family val="2"/>
      </rPr>
      <t xml:space="preserve">혁신</t>
    </r>
    <r>
      <rPr>
        <sz val="9"/>
        <rFont val="Arial"/>
        <family val="0"/>
        <charset val="1"/>
      </rPr>
      <t xml:space="preserve">·</t>
    </r>
    <r>
      <rPr>
        <sz val="9"/>
        <rFont val="Noto Sans CJK SC"/>
        <family val="2"/>
      </rPr>
      <t xml:space="preserve">개인정보 보호 </t>
    </r>
    <r>
      <rPr>
        <sz val="9"/>
        <rFont val="Arial"/>
        <family val="0"/>
        <charset val="1"/>
      </rPr>
      <t xml:space="preserve">'</t>
    </r>
    <r>
      <rPr>
        <sz val="9"/>
        <rFont val="Noto Sans CJK SC"/>
        <family val="2"/>
      </rPr>
      <t xml:space="preserve">균형추</t>
    </r>
    <r>
      <rPr>
        <sz val="9"/>
        <rFont val="Arial"/>
        <family val="0"/>
        <charset val="1"/>
      </rPr>
      <t xml:space="preserve">'…"</t>
    </r>
    <r>
      <rPr>
        <sz val="9"/>
        <rFont val="Noto Sans CJK SC"/>
        <family val="2"/>
      </rPr>
      <t xml:space="preserve">신뢰 기반 함께 살펴야</t>
    </r>
    <r>
      <rPr>
        <sz val="9"/>
        <rFont val="Arial"/>
        <family val="0"/>
        <charset val="1"/>
      </rPr>
      <t xml:space="preserve">"</t>
    </r>
  </si>
  <si>
    <r>
      <rPr>
        <sz val="9"/>
        <rFont val="Noto Sans CJK SC"/>
        <family val="2"/>
      </rPr>
      <t xml:space="preserve">ⓒ 맛있는 뉴스토마토</t>
    </r>
    <r>
      <rPr>
        <sz val="9"/>
        <rFont val="Arial"/>
        <family val="0"/>
        <charset val="1"/>
      </rPr>
      <t xml:space="preserve">, </t>
    </r>
    <r>
      <rPr>
        <sz val="9"/>
        <rFont val="Noto Sans CJK SC"/>
        <family val="2"/>
      </rPr>
      <t xml:space="preserve">무단 전재 </t>
    </r>
    <r>
      <rPr>
        <sz val="9"/>
        <rFont val="Arial"/>
        <family val="0"/>
        <charset val="1"/>
      </rPr>
      <t xml:space="preserve">- </t>
    </r>
    <r>
      <rPr>
        <sz val="9"/>
        <rFont val="Noto Sans CJK SC"/>
        <family val="2"/>
      </rPr>
      <t xml:space="preserve">재배포 금지</t>
    </r>
  </si>
  <si>
    <r>
      <rPr>
        <sz val="9"/>
        <rFont val="Noto Sans CJK SC"/>
        <family val="2"/>
      </rPr>
      <t xml:space="preserve">싱싱한 정보와 살아있는 뉴스를 제공하겠습니다</t>
    </r>
    <r>
      <rPr>
        <sz val="9"/>
        <rFont val="Arial"/>
        <family val="0"/>
        <charset val="1"/>
      </rPr>
      <t xml:space="preserve">!</t>
    </r>
  </si>
  <si>
    <t xml:space="preserve">Moto Razr Ultra vs. Galaxy Z Flip 8 camera shootout: The winning flip phone surprised me - ZDNET</t>
  </si>
  <si>
    <t xml:space="preserve">I love flip phones because they give you the best of both worlds: a normal-sized phone when open, and an extra pocketable device when folded up. They also have large cover screens you can run apps on, keeping things light and intentional while minimizing battery use. In the U.S., two of the major phone makers build flip phones — Samsung and Motorola.</t>
  </si>
  <si>
    <t xml:space="preserve">Also: I’ve tested every Motorola foldable phone in 2026 so far – how to pick between Fold and Ultra</t>
  </si>
  <si>
    <t xml:space="preserve">South Korea's Lee, Trump discuss strategic projects, North Korea</t>
  </si>
  <si>
    <t xml:space="preserve">US President Donald Trump and his South Korean counterpart Lee Jae Myung discussed several pending issues between the two sides, including progress in bilateral strategic projects, Seoul-based Yonhap News reported on Wednesday, citing National Security Adviser Wi Sung-lac.</t>
  </si>
  <si>
    <t xml:space="preserve">The two leaders met on the sidelines of the UN General Assembly on Tuesday amid Washington's mounting pressure on Seoul for military deployment to help efforts to secure navigation through the Strait of Hormuz.</t>
  </si>
  <si>
    <t xml:space="preserve">Arriba a México el presidente de Corea del Sur; se reunirá con Sheinbaum este jueves | Omnia</t>
  </si>
  <si>
    <t xml:space="preserve">EFE.- El presidente surcoreano, Lee Jae-Myung , llegó este miércoles a México para un viaje de tres días que comenzará el jueves con una cumbre bilateral con su homóloga mexicana, Claudia Sheinbaum, en la primera visita de Estado de un mandatario surcoreano en 16 años al país norteamericano.</t>
  </si>
  <si>
    <t xml:space="preserve">Lee aterrizó alrededor de las 7:00 de la tarde, hora local, en el Aeropuerto Internacional Felipe Ángeles ( AIFA ), en el Estado de México, junto con su esposa, Kim Hea Kyung , y una comitiva del gobierno surcoreano.</t>
  </si>
  <si>
    <t xml:space="preserve">South Korean president says country capable of taking back wartime command of combined US forces, Asia News - AsiaOne</t>
  </si>
  <si>
    <t xml:space="preserve">SEOUL — South Korean President Lee Jae-myung said on Monday (Oct 19) the country is fully capable of taking back the wartime operational control of the combined forces with the US stationed in the country and talks with Washington for the change are progressing.</t>
  </si>
  <si>
    <t xml:space="preserve">Lee also said South Korea has built a powerful military that can counter North Korea even though Pyongyang has developed nuclear weapons, which he said are fundamentally a means for final defence, not for combat in a war.</t>
  </si>
  <si>
    <t xml:space="preserve">2026-10-17</t>
  </si>
  <si>
    <t xml:space="preserve">S. Korea urges Japanese leaders to squarely face history, reflect on wartime past-Xinhua</t>
  </si>
  <si>
    <t xml:space="preserve">SEOUL, Oct. 17 (Xinhua) -- South Korea on Saturday expressed regret over senior Japanese officials sending ritual offerings and paying visits to the war-linked Yasukuni Shrine.</t>
  </si>
  <si>
    <t xml:space="preserve">In a statement issued by the Ministry of Foreign Affairs, South Korea expressed its deep disappointment and regret once again that responsible leaders of Japan repeatedly made offerings or paid visits to the Yasukuni Shrine, which glorifies Japan's wars of aggression and enshrines war criminals.</t>
  </si>
  <si>
    <r>
      <rPr>
        <sz val="9"/>
        <rFont val="Noto Sans CJK SC"/>
        <family val="2"/>
      </rPr>
      <t xml:space="preserve">대북 제재 회의론보다 실효성 높일 때</t>
    </r>
    <r>
      <rPr>
        <sz val="9"/>
        <rFont val="Arial"/>
        <family val="0"/>
        <charset val="1"/>
      </rPr>
      <t xml:space="preserve">[</t>
    </r>
    <r>
      <rPr>
        <sz val="9"/>
        <rFont val="Noto Sans CJK SC"/>
        <family val="2"/>
      </rPr>
      <t xml:space="preserve">포럼</t>
    </r>
    <r>
      <rPr>
        <sz val="9"/>
        <rFont val="Arial"/>
        <family val="0"/>
        <charset val="1"/>
      </rPr>
      <t xml:space="preserve">] | </t>
    </r>
    <r>
      <rPr>
        <sz val="9"/>
        <rFont val="Noto Sans CJK SC"/>
        <family val="2"/>
      </rPr>
      <t xml:space="preserve">문화일보</t>
    </r>
  </si>
  <si>
    <r>
      <rPr>
        <sz val="9"/>
        <rFont val="Noto Sans CJK SC"/>
        <family val="2"/>
      </rPr>
      <t xml:space="preserve">권태오 전 유엔사 군사정전위 수석대표</t>
    </r>
    <r>
      <rPr>
        <sz val="9"/>
        <rFont val="Arial"/>
        <family val="0"/>
        <charset val="1"/>
      </rPr>
      <t xml:space="preserve">, </t>
    </r>
    <r>
      <rPr>
        <sz val="9"/>
        <rFont val="Noto Sans CJK SC"/>
        <family val="2"/>
      </rPr>
      <t xml:space="preserve">예비역 육군 중장</t>
    </r>
  </si>
  <si>
    <r>
      <rPr>
        <sz val="9"/>
        <rFont val="Arial"/>
        <family val="0"/>
        <charset val="1"/>
      </rPr>
      <t xml:space="preserve">5</t>
    </r>
    <r>
      <rPr>
        <sz val="9"/>
        <rFont val="Noto Sans CJK SC"/>
        <family val="2"/>
      </rPr>
      <t xml:space="preserve">박</t>
    </r>
    <r>
      <rPr>
        <sz val="9"/>
        <rFont val="Arial"/>
        <family val="0"/>
        <charset val="1"/>
      </rPr>
      <t xml:space="preserve">7</t>
    </r>
    <r>
      <rPr>
        <sz val="9"/>
        <rFont val="Noto Sans CJK SC"/>
        <family val="2"/>
      </rPr>
      <t xml:space="preserve">일 간의 미국</t>
    </r>
    <r>
      <rPr>
        <sz val="9"/>
        <rFont val="Arial"/>
        <family val="0"/>
        <charset val="1"/>
      </rPr>
      <t xml:space="preserve">·</t>
    </r>
    <r>
      <rPr>
        <sz val="9"/>
        <rFont val="Noto Sans CJK SC"/>
        <family val="2"/>
      </rPr>
      <t xml:space="preserve">멕시코 순방을 마치고 </t>
    </r>
    <r>
      <rPr>
        <sz val="9"/>
        <rFont val="Arial"/>
        <family val="0"/>
        <charset val="1"/>
      </rPr>
      <t xml:space="preserve">27</t>
    </r>
    <r>
      <rPr>
        <sz val="9"/>
        <rFont val="Noto Sans CJK SC"/>
        <family val="2"/>
      </rPr>
      <t xml:space="preserve">일 귀국한 이재명 대통령이 유엔총회 참석을 계기로 밝힌 ‘북핵 해법’이 적잖은 논란을 부르고 있다</t>
    </r>
    <r>
      <rPr>
        <sz val="9"/>
        <rFont val="Arial"/>
        <family val="0"/>
        <charset val="1"/>
      </rPr>
      <t xml:space="preserve">. </t>
    </r>
    <r>
      <rPr>
        <sz val="9"/>
        <rFont val="Noto Sans CJK SC"/>
        <family val="2"/>
      </rPr>
      <t xml:space="preserve">이 대통령은 지난 </t>
    </r>
    <r>
      <rPr>
        <sz val="9"/>
        <rFont val="Arial"/>
        <family val="0"/>
        <charset val="1"/>
      </rPr>
      <t xml:space="preserve">22</t>
    </r>
    <r>
      <rPr>
        <sz val="9"/>
        <rFont val="Noto Sans CJK SC"/>
        <family val="2"/>
      </rPr>
      <t xml:space="preserve">일 유엔총회 기조연설에서 북측의 핵</t>
    </r>
    <r>
      <rPr>
        <sz val="9"/>
        <rFont val="Arial"/>
        <family val="0"/>
        <charset val="1"/>
      </rPr>
      <t xml:space="preserve">·</t>
    </r>
    <r>
      <rPr>
        <sz val="9"/>
        <rFont val="Noto Sans CJK SC"/>
        <family val="2"/>
      </rPr>
      <t xml:space="preserve">미사일 능력 고도화를 중단시키고</t>
    </r>
    <r>
      <rPr>
        <sz val="9"/>
        <rFont val="Arial"/>
        <family val="0"/>
        <charset val="1"/>
      </rPr>
      <t xml:space="preserve">, </t>
    </r>
    <r>
      <rPr>
        <sz val="9"/>
        <rFont val="Noto Sans CJK SC"/>
        <family val="2"/>
      </rPr>
      <t xml:space="preserve">중기적으로 축소를 거쳐 장기적으로 ‘핵 없는 한반도’로 나아가자고 밝혔다</t>
    </r>
    <r>
      <rPr>
        <sz val="9"/>
        <rFont val="Arial"/>
        <family val="0"/>
        <charset val="1"/>
      </rPr>
      <t xml:space="preserve">. 1</t>
    </r>
    <r>
      <rPr>
        <sz val="9"/>
        <rFont val="Noto Sans CJK SC"/>
        <family val="2"/>
      </rPr>
      <t xml:space="preserve">년 전 같은 연단에서는 ‘비핵화’를 명시적 목표로 제시했었는데</t>
    </r>
    <r>
      <rPr>
        <sz val="9"/>
        <rFont val="Arial"/>
        <family val="0"/>
        <charset val="1"/>
      </rPr>
      <t xml:space="preserve">, </t>
    </r>
    <r>
      <rPr>
        <sz val="9"/>
        <rFont val="Noto Sans CJK SC"/>
        <family val="2"/>
      </rPr>
      <t xml:space="preserve">올해에는 이 표현을 아예 쓰지 않았다</t>
    </r>
    <r>
      <rPr>
        <sz val="9"/>
        <rFont val="Arial"/>
        <family val="0"/>
        <charset val="1"/>
      </rPr>
      <t xml:space="preserve">.</t>
    </r>
  </si>
  <si>
    <t xml:space="preserve">Gabriela Ruse s-a calificat în optimile Korea Open</t>
  </si>
  <si>
    <t xml:space="preserve">US senator hails Hanwha's role in revitalizing American shipbuilding industry - The Korea Herald</t>
  </si>
  <si>
    <t xml:space="preserve">Северокорейские пленные оказались в Южной Корее: почему между Сеулом и Киевом разгорелся конфликт</t>
  </si>
  <si>
    <t xml:space="preserve">Двое солдат КНДР, взятых в плен во время войны против Украины, сейчас находятся в Южной Корее.</t>
  </si>
  <si>
    <t xml:space="preserve">В Южной Корее в охраняемом и секретном объекте сеульские разведчики допрашивают двух младших северокорейских солдат, которые стали одними из самых разыскиваемых военнопленных в мире. Как пишет Financial Times , речь идет о 27-летнем снайпере-разведчике Ри и 22-летнем стрелке Пеке, которые были среди примерно 15 тысяч военных КНДР, отправленных в РФ с октября 2024 года для поддержки российской армии, воюющей против Украины.</t>
  </si>
  <si>
    <t xml:space="preserve">PISA 2025 science scores: China leaves the US far behind in PISA science scores: What the latest global student rankings reveal about the growing gap between the two education systems - The Economic Times</t>
  </si>
  <si>
    <t xml:space="preserve">One border, 3 lines: Why another DMZ mine blast could be waiting to happen</t>
  </si>
  <si>
    <t xml:space="preserve">The Sept. 21 mine explosion in the western Demilitarized Zone (DMZ) has emerged as a major point of contention between the two Koreas. Seoul maintains that the incident constitutes a clear violation of the Armistice Agreement, while Pyongyang rejects the allegation, dismissing the explosion as a fabricated farce staged by the South.</t>
  </si>
  <si>
    <t xml:space="preserve">“This is a clear violation of the Armistice Agreement. We believe this is related to North Korea’s attempts to fortify the border,” South Korean Defense Minister Kang Shin-chul stated before the National Assembly National Defense Committee on Sept. 29.</t>
  </si>
  <si>
    <t xml:space="preserve">Минобороны Южной Кореи обеспокоено ростом напряженности на границе с КНДР</t>
  </si>
  <si>
    <t xml:space="preserve">Москва. 20 октября. INTERFAX.RU - Министерство обороны Южной Кореи заявило о серьезной обеспокоенности в связи с ростом напряженности на границе с Севером, сообщает "Ренхап".</t>
  </si>
  <si>
    <t xml:space="preserve">"Министерство национальной обороны выражает серьезную обеспокоенность в связи с критикой Ким Е Чжон (сестра Ким Чен Ына и заведующая отделом ЦК ТПК - ИФ) законных операций наших вооруженных сил, проводимых в соответствии с соглашением о перемирии, а также в связи с эскалацией напряженности с помощью военных угроз", - говорится в заявлении военного ведомства.</t>
  </si>
  <si>
    <r>
      <rPr>
        <sz val="9"/>
        <rFont val="Noto Sans CJK SC"/>
        <family val="2"/>
      </rPr>
      <t xml:space="preserve">법원 </t>
    </r>
    <r>
      <rPr>
        <sz val="9"/>
        <rFont val="Arial"/>
        <family val="0"/>
        <charset val="1"/>
      </rPr>
      <t xml:space="preserve">"</t>
    </r>
    <r>
      <rPr>
        <sz val="9"/>
        <rFont val="Noto Sans CJK SC"/>
        <family val="2"/>
      </rPr>
      <t xml:space="preserve">태안 기름 유출 복구 단체들</t>
    </r>
    <r>
      <rPr>
        <sz val="9"/>
        <rFont val="Arial"/>
        <family val="0"/>
        <charset val="1"/>
      </rPr>
      <t xml:space="preserve">, </t>
    </r>
    <r>
      <rPr>
        <sz val="9"/>
        <rFont val="Noto Sans CJK SC"/>
        <family val="2"/>
      </rPr>
      <t xml:space="preserve">기금 </t>
    </r>
    <r>
      <rPr>
        <sz val="9"/>
        <rFont val="Arial"/>
        <family val="0"/>
        <charset val="1"/>
      </rPr>
      <t xml:space="preserve">2800</t>
    </r>
    <r>
      <rPr>
        <sz val="9"/>
        <rFont val="Noto Sans CJK SC"/>
        <family val="2"/>
      </rPr>
      <t xml:space="preserve">억 반환해야</t>
    </r>
    <r>
      <rPr>
        <sz val="9"/>
        <rFont val="Arial"/>
        <family val="0"/>
        <charset val="1"/>
      </rPr>
      <t xml:space="preserve">"-</t>
    </r>
    <r>
      <rPr>
        <sz val="9"/>
        <rFont val="Noto Sans CJK SC"/>
        <family val="2"/>
      </rPr>
      <t xml:space="preserve">사회ㅣ한국일보</t>
    </r>
  </si>
  <si>
    <r>
      <rPr>
        <sz val="9"/>
        <rFont val="Arial"/>
        <family val="0"/>
        <charset val="1"/>
      </rPr>
      <t xml:space="preserve">2007</t>
    </r>
    <r>
      <rPr>
        <sz val="9"/>
        <rFont val="Noto Sans CJK SC"/>
        <family val="2"/>
      </rPr>
      <t xml:space="preserve">년 태안 기름 유출 사고 당시 자원봉사자 등이 해변에 밀려든 기름을 걷어내고 있다</t>
    </r>
    <r>
      <rPr>
        <sz val="9"/>
        <rFont val="Arial"/>
        <family val="0"/>
        <charset val="1"/>
      </rPr>
      <t xml:space="preserve">. </t>
    </r>
    <r>
      <rPr>
        <sz val="9"/>
        <rFont val="Noto Sans CJK SC"/>
        <family val="2"/>
      </rPr>
      <t xml:space="preserve">충남도 제공</t>
    </r>
  </si>
  <si>
    <r>
      <rPr>
        <sz val="9"/>
        <rFont val="Arial"/>
        <family val="0"/>
        <charset val="1"/>
      </rPr>
      <t xml:space="preserve">2007</t>
    </r>
    <r>
      <rPr>
        <sz val="9"/>
        <rFont val="Noto Sans CJK SC"/>
        <family val="2"/>
      </rPr>
      <t xml:space="preserve">년 충남 태안 기름유출 사고 피해 주민들을 지원하기 위해 설립된 단체들이 기금 </t>
    </r>
    <r>
      <rPr>
        <sz val="9"/>
        <rFont val="Arial"/>
        <family val="0"/>
        <charset val="1"/>
      </rPr>
      <t xml:space="preserve">2,800</t>
    </r>
    <r>
      <rPr>
        <sz val="9"/>
        <rFont val="Noto Sans CJK SC"/>
        <family val="2"/>
      </rPr>
      <t xml:space="preserve">억여 원을 반환해야 한다는 법원 판결이 나왔다</t>
    </r>
    <r>
      <rPr>
        <sz val="9"/>
        <rFont val="Arial"/>
        <family val="0"/>
        <charset val="1"/>
      </rPr>
      <t xml:space="preserve">. </t>
    </r>
    <r>
      <rPr>
        <sz val="9"/>
        <rFont val="Noto Sans CJK SC"/>
        <family val="2"/>
      </rPr>
      <t xml:space="preserve">피해 복구와 주민 지원 등 공익사업은 제대로 추진하지 않은 채 임직원 인건비 등 단체 운영비로 수십억 원을 사용한 것으로 드러났다</t>
    </r>
    <r>
      <rPr>
        <sz val="9"/>
        <rFont val="Arial"/>
        <family val="0"/>
        <charset val="1"/>
      </rPr>
      <t xml:space="preserve">.</t>
    </r>
  </si>
  <si>
    <t xml:space="preserve">Kemenpar Dorong Wisata Batik Jadi Tren Baru, Wisatawan Diajak Rasakan Langsung Proses Membatik</t>
  </si>
  <si>
    <r>
      <rPr>
        <sz val="9"/>
        <rFont val="Noto Sans CJK SC"/>
        <family val="2"/>
      </rPr>
      <t xml:space="preserve">첫 </t>
    </r>
    <r>
      <rPr>
        <sz val="9"/>
        <rFont val="Arial"/>
        <family val="0"/>
        <charset val="1"/>
      </rPr>
      <t xml:space="preserve">AG</t>
    </r>
    <r>
      <rPr>
        <sz val="9"/>
        <rFont val="Noto Sans CJK SC"/>
        <family val="2"/>
      </rPr>
      <t xml:space="preserve">서 해냈다…김지은</t>
    </r>
    <r>
      <rPr>
        <sz val="9"/>
        <rFont val="Arial"/>
        <family val="0"/>
        <charset val="1"/>
      </rPr>
      <t xml:space="preserve">, </t>
    </r>
    <r>
      <rPr>
        <sz val="9"/>
        <rFont val="Noto Sans CJK SC"/>
        <family val="2"/>
      </rPr>
      <t xml:space="preserve">사격 여자 </t>
    </r>
    <r>
      <rPr>
        <sz val="9"/>
        <rFont val="Arial"/>
        <family val="0"/>
        <charset val="1"/>
      </rPr>
      <t xml:space="preserve">50</t>
    </r>
    <r>
      <rPr>
        <sz val="9"/>
        <rFont val="Noto Sans CJK SC"/>
        <family val="2"/>
      </rPr>
      <t xml:space="preserve">ｍ 소총 </t>
    </r>
    <r>
      <rPr>
        <sz val="9"/>
        <rFont val="Arial"/>
        <family val="0"/>
        <charset val="1"/>
      </rPr>
      <t xml:space="preserve">3</t>
    </r>
    <r>
      <rPr>
        <sz val="9"/>
        <rFont val="Noto Sans CJK SC"/>
        <family val="2"/>
      </rPr>
      <t xml:space="preserve">자세 ‘깜짝 동메달’ </t>
    </r>
    <r>
      <rPr>
        <sz val="9"/>
        <rFont val="Arial"/>
        <family val="0"/>
        <charset val="1"/>
      </rPr>
      <t xml:space="preserve">[</t>
    </r>
    <r>
      <rPr>
        <sz val="9"/>
        <rFont val="Noto Sans CJK SC"/>
        <family val="2"/>
      </rPr>
      <t xml:space="preserve">아시안게임</t>
    </r>
    <r>
      <rPr>
        <sz val="9"/>
        <rFont val="Arial"/>
        <family val="0"/>
        <charset val="1"/>
      </rPr>
      <t xml:space="preserve">] | </t>
    </r>
    <r>
      <rPr>
        <sz val="9"/>
        <rFont val="Noto Sans CJK SC"/>
        <family val="2"/>
      </rPr>
      <t xml:space="preserve">세계일보</t>
    </r>
  </si>
  <si>
    <r>
      <rPr>
        <sz val="9"/>
        <rFont val="Arial"/>
        <family val="0"/>
        <charset val="1"/>
      </rPr>
      <t xml:space="preserve">[</t>
    </r>
    <r>
      <rPr>
        <sz val="9"/>
        <rFont val="Noto Sans CJK SC"/>
        <family val="2"/>
      </rPr>
      <t xml:space="preserve">나고야</t>
    </r>
    <r>
      <rPr>
        <sz val="9"/>
        <rFont val="Arial"/>
        <family val="0"/>
        <charset val="1"/>
      </rPr>
      <t xml:space="preserve">=</t>
    </r>
    <r>
      <rPr>
        <sz val="9"/>
        <rFont val="Noto Sans CJK SC"/>
        <family val="2"/>
      </rPr>
      <t xml:space="preserve">권준영 기자</t>
    </r>
    <r>
      <rPr>
        <sz val="9"/>
        <rFont val="Arial"/>
        <family val="0"/>
        <charset val="1"/>
      </rPr>
      <t xml:space="preserve">] </t>
    </r>
    <r>
      <rPr>
        <sz val="9"/>
        <rFont val="Noto Sans CJK SC"/>
        <family val="2"/>
      </rPr>
      <t xml:space="preserve">생애 첫 아시안게임에 나선 김지은</t>
    </r>
    <r>
      <rPr>
        <sz val="9"/>
        <rFont val="Arial"/>
        <family val="0"/>
        <charset val="1"/>
      </rPr>
      <t xml:space="preserve">(IBK</t>
    </r>
    <r>
      <rPr>
        <sz val="9"/>
        <rFont val="Noto Sans CJK SC"/>
        <family val="2"/>
      </rPr>
      <t xml:space="preserve">기업은행</t>
    </r>
    <r>
      <rPr>
        <sz val="9"/>
        <rFont val="Arial"/>
        <family val="0"/>
        <charset val="1"/>
      </rPr>
      <t xml:space="preserve">)</t>
    </r>
    <r>
      <rPr>
        <sz val="9"/>
        <rFont val="Noto Sans CJK SC"/>
        <family val="2"/>
      </rPr>
      <t xml:space="preserve">이 성인 국제대회 첫 결선에서 동메달을 목에 걸었다</t>
    </r>
    <r>
      <rPr>
        <sz val="9"/>
        <rFont val="Arial"/>
        <family val="0"/>
        <charset val="1"/>
      </rPr>
      <t xml:space="preserve">. </t>
    </r>
    <r>
      <rPr>
        <sz val="9"/>
        <rFont val="Noto Sans CJK SC"/>
        <family val="2"/>
      </rPr>
      <t xml:space="preserve">한국 선수가 아시안게임 사격 여자 </t>
    </r>
    <r>
      <rPr>
        <sz val="9"/>
        <rFont val="Arial"/>
        <family val="0"/>
        <charset val="1"/>
      </rPr>
      <t xml:space="preserve">50</t>
    </r>
    <r>
      <rPr>
        <sz val="9"/>
        <rFont val="Noto Sans CJK SC"/>
        <family val="2"/>
      </rPr>
      <t xml:space="preserve">ｍ 소총 </t>
    </r>
    <r>
      <rPr>
        <sz val="9"/>
        <rFont val="Arial"/>
        <family val="0"/>
        <charset val="1"/>
      </rPr>
      <t xml:space="preserve">3</t>
    </r>
    <r>
      <rPr>
        <sz val="9"/>
        <rFont val="Noto Sans CJK SC"/>
        <family val="2"/>
      </rPr>
      <t xml:space="preserve">자세 개인전에서 메달을 따낸 것은 </t>
    </r>
    <r>
      <rPr>
        <sz val="9"/>
        <rFont val="Arial"/>
        <family val="0"/>
        <charset val="1"/>
      </rPr>
      <t xml:space="preserve">2014</t>
    </r>
    <r>
      <rPr>
        <sz val="9"/>
        <rFont val="Noto Sans CJK SC"/>
        <family val="2"/>
      </rPr>
      <t xml:space="preserve">년 인천 대회 이후 </t>
    </r>
    <r>
      <rPr>
        <sz val="9"/>
        <rFont val="Arial"/>
        <family val="0"/>
        <charset val="1"/>
      </rPr>
      <t xml:space="preserve">12</t>
    </r>
    <r>
      <rPr>
        <sz val="9"/>
        <rFont val="Noto Sans CJK SC"/>
        <family val="2"/>
      </rPr>
      <t xml:space="preserve">년 만이다</t>
    </r>
    <r>
      <rPr>
        <sz val="9"/>
        <rFont val="Arial"/>
        <family val="0"/>
        <charset val="1"/>
      </rPr>
      <t xml:space="preserve">.</t>
    </r>
  </si>
  <si>
    <r>
      <rPr>
        <sz val="9"/>
        <rFont val="Noto Sans CJK SC"/>
        <family val="2"/>
      </rPr>
      <t xml:space="preserve">김지은은 </t>
    </r>
    <r>
      <rPr>
        <sz val="9"/>
        <rFont val="Arial"/>
        <family val="0"/>
        <charset val="1"/>
      </rPr>
      <t xml:space="preserve">26</t>
    </r>
    <r>
      <rPr>
        <sz val="9"/>
        <rFont val="Noto Sans CJK SC"/>
        <family val="2"/>
      </rPr>
      <t xml:space="preserve">일 일본 아이치현 종합사격장에서 열린 </t>
    </r>
    <r>
      <rPr>
        <sz val="9"/>
        <rFont val="Arial"/>
        <family val="0"/>
        <charset val="1"/>
      </rPr>
      <t xml:space="preserve">2026 </t>
    </r>
    <r>
      <rPr>
        <sz val="9"/>
        <rFont val="Noto Sans CJK SC"/>
        <family val="2"/>
      </rPr>
      <t xml:space="preserve">아이치</t>
    </r>
    <r>
      <rPr>
        <sz val="9"/>
        <rFont val="Arial"/>
        <family val="0"/>
        <charset val="1"/>
      </rPr>
      <t xml:space="preserve">·</t>
    </r>
    <r>
      <rPr>
        <sz val="9"/>
        <rFont val="Noto Sans CJK SC"/>
        <family val="2"/>
      </rPr>
      <t xml:space="preserve">나고야 아시안게임 사격 여자 </t>
    </r>
    <r>
      <rPr>
        <sz val="9"/>
        <rFont val="Arial"/>
        <family val="0"/>
        <charset val="1"/>
      </rPr>
      <t xml:space="preserve">50</t>
    </r>
    <r>
      <rPr>
        <sz val="9"/>
        <rFont val="Noto Sans CJK SC"/>
        <family val="2"/>
      </rPr>
      <t xml:space="preserve">ｍ 소총 </t>
    </r>
    <r>
      <rPr>
        <sz val="9"/>
        <rFont val="Arial"/>
        <family val="0"/>
        <charset val="1"/>
      </rPr>
      <t xml:space="preserve">3</t>
    </r>
    <r>
      <rPr>
        <sz val="9"/>
        <rFont val="Noto Sans CJK SC"/>
        <family val="2"/>
      </rPr>
      <t xml:space="preserve">자세 결선에서 </t>
    </r>
    <r>
      <rPr>
        <sz val="9"/>
        <rFont val="Arial"/>
        <family val="0"/>
        <charset val="1"/>
      </rPr>
      <t xml:space="preserve">348.4</t>
    </r>
    <r>
      <rPr>
        <sz val="9"/>
        <rFont val="Noto Sans CJK SC"/>
        <family val="2"/>
      </rPr>
      <t xml:space="preserve">점을 기록해 </t>
    </r>
    <r>
      <rPr>
        <sz val="9"/>
        <rFont val="Arial"/>
        <family val="0"/>
        <charset val="1"/>
      </rPr>
      <t xml:space="preserve">3</t>
    </r>
    <r>
      <rPr>
        <sz val="9"/>
        <rFont val="Noto Sans CJK SC"/>
        <family val="2"/>
      </rPr>
      <t xml:space="preserve">위에 올랐다</t>
    </r>
    <r>
      <rPr>
        <sz val="9"/>
        <rFont val="Arial"/>
        <family val="0"/>
        <charset val="1"/>
      </rPr>
      <t xml:space="preserve">.</t>
    </r>
  </si>
  <si>
    <t xml:space="preserve">Despite strains, core S. Korea-US military sharing remains intact: experts - The Korea Herald</t>
  </si>
  <si>
    <t xml:space="preserve">North Korea test-fires missile as tensions rise | The Arkansas Democrat-Gazette - Arkansas' Best News Source</t>
  </si>
  <si>
    <t xml:space="preserve">SEOUL, South Korea -- North Korea said Saturday it test-fired an intermediate-range ballistic missile that it claimed has maneuverable flight capabilities designed to evade missile defenses in South Korea and Japan. The latest test comes amid heightened tensions between the two Koreas over border land mine blasts.</t>
  </si>
  <si>
    <t xml:space="preserve">Kim Yo Jong, the powerful sister of North Korean leader Kim Jong Un, said her brother supervised the test of the missile, which she described as strategic, implying it was designed to deliver nuclear weapons. She also said it could change its flight trajectory at low altitudes and was equipped with unspecified artificial intelligence capabilities she claimed would make it highly difficult to intercept.</t>
  </si>
  <si>
    <t xml:space="preserve">KĽDR prevádzkuje tajnú väznicu na veľvyslanectve v Pekingu</t>
  </si>
  <si>
    <t xml:space="preserve">SOUL - Severná Kórea údajne prevádzkuje tajné zariadenie na svojom veľvyslanectve v Číne, kde vypočúva a následne repatriuje svojich občanov považovaných za hrozbu pre svoj režim. Uvádza sa to v správe, ktorú v utorok zverejnila juhokórejská ľudskoprávna organizácia Transitional Justice Working Group (TJWG). Píšu o tom správy agentúry Jonhap.</t>
  </si>
  <si>
    <t xml:space="preserve">Na základe rozhovorov s viacerými nemenovanými zdrojmi vrátane bývalého severokórejského diplomata organizácia tvrdí, že KĽDR prevádzkuje zariadenie v suteréne svojho veľvyslanectva v Pekingu. Má tam dochádzať k sledovaniu, zatýkaniu, zadržiavaniu a výsluchom, ako aj k núteným repatriáciám. Na tajnú činnosť dohliada „bezpečnostný predstaviteľ“ , ktorý zastáva konzulárnu funkciu, no podľa správy je údajne príslušníkom severokórejskej spravodajskej služby. Prípady sú podľa TJWG hlásené Pchjongjangu do 12 až 24 hodín.</t>
  </si>
  <si>
    <t xml:space="preserve">ООН и преминаването на 38-ия паралел в Корея</t>
  </si>
  <si>
    <t xml:space="preserve">7 Октомври, 2026 09:02, обновена 7 Октомври, 2026 09:05 850 5</t>
  </si>
  <si>
    <t xml:space="preserve">На 7 октомври 1950 г. Общото събрание на ООН приема резолюция 376 (V), с която дава политическа основа на настъплението на силите на ООН северно от 38-ия паралел в рамките на Корейската война. Документът е приет с 47 гласа „за“, 5 „против“ и 7 въздържали се.</t>
  </si>
  <si>
    <t xml:space="preserve">Pyongyang desmiente a Seúl y amenaza con un "contraataque despiadado" si ataca a sus soldados en la frontera</t>
  </si>
  <si>
    <t xml:space="preserve">Kim Yo Jong, la hermana del líder supremo norcoreano, Kim Jong Un, ha advertido de que Corea del Norte responderá militarmente si las fuerzas surcoreanas intensifican sus acciones en la zona fronteriza y llegan a disparar contra sus efectivos, al tiempo que ha rechazado las conclusiones de Seúl sobre la reciente explosión de una mina en la Zona Desmilitarizada (DMZ) que dejó tres soldados surcoreanos heridos y las ha calificado de "farsa".</t>
  </si>
  <si>
    <t xml:space="preserve">Kim ha acusado a los responsables militares de Corea del Sur de utilizar el incidente, ocurrido el pasado 21 de septiembre, para justificar nuevas medidas políticas y militares contra Pyongyang. Según su versión, este episodio coincide con el conocido como "incidente de la mina de la caja de madera", ocurrido hace más de una década y que, de acuerdo con Pyongyang, fue utilizado entonces por Seúl para atribuir responsabilidades a Corea del Norte y elevar la tensión en la frontera.</t>
  </si>
  <si>
    <t xml:space="preserve">The Guardian: Coreea de Sud verifică posibile livrări ilegale de combustibil către Rusia din porturile sale</t>
  </si>
  <si>
    <t xml:space="preserve">Portland Bakery JinJu Patisserie Is the Reopening of the Year | Portland Monthly</t>
  </si>
  <si>
    <t xml:space="preserve">In June 2025, JinJu Patisserie scaled the mountain: The warm-hearted neighborhood bakery , which had opened on North Williams Avenue six years before, won the prestigious James Beard Outstanding Bakery award . Never mind its lack of indoor seating, or its stacks of boxes everywhere. What mattered was inside of three gleaming bakery cases: stellar croissants the size of a Buick, fancy cakes, and artistic chocolate bonbons. It was already popular, but post-Beard lines snaked around the corner. Shortly after doors opened, JinJu looked like the siege of Stalingrad. In a mere two hours, 1,000 baked goods were snatched up, not a crumb in the house. Owners Jin Caldwell and Kyurim “Q” Lee worked 15-hour days just to keep up.</t>
  </si>
  <si>
    <t xml:space="preserve">Then, poof, it was over. On December 28, six months after nabbing a Beard medal, JinJu closed. Its lease had ended, but in reality it had outgrown the tiny kitchen. Wails of grief rocketed around the city. Its final weekend, adherents waited hours in the cold for a final taste. But it wasn’t the end; Caldwell and Lee said they planned to return, just somewhere else. Every citizen, it seemed, sprung into action to find a new home that would keep JinJu in the neighborhood. Customers, real estate agents—even politicians, as Caldwell tells the story—sent ideas and listings.</t>
  </si>
  <si>
    <r>
      <rPr>
        <sz val="9"/>
        <rFont val="Noto Sans CJK SC"/>
        <family val="2"/>
      </rPr>
      <t xml:space="preserve">日하늘에 태극기 띄운 </t>
    </r>
    <r>
      <rPr>
        <sz val="9"/>
        <rFont val="Arial"/>
        <family val="0"/>
        <charset val="1"/>
      </rPr>
      <t xml:space="preserve">'</t>
    </r>
    <r>
      <rPr>
        <sz val="9"/>
        <rFont val="Noto Sans CJK SC"/>
        <family val="2"/>
      </rPr>
      <t xml:space="preserve">독립운동가 후손 재일교포</t>
    </r>
    <r>
      <rPr>
        <sz val="9"/>
        <rFont val="Arial"/>
        <family val="0"/>
        <charset val="1"/>
      </rPr>
      <t xml:space="preserve">' </t>
    </r>
    <r>
      <rPr>
        <sz val="9"/>
        <rFont val="Noto Sans CJK SC"/>
        <family val="2"/>
      </rPr>
      <t xml:space="preserve">허미미 </t>
    </r>
    <r>
      <rPr>
        <sz val="9"/>
        <rFont val="Arial"/>
        <family val="0"/>
        <charset val="1"/>
      </rPr>
      <t xml:space="preserve">"</t>
    </r>
    <r>
      <rPr>
        <sz val="9"/>
        <rFont val="Noto Sans CJK SC"/>
        <family val="2"/>
      </rPr>
      <t xml:space="preserve">인생에서 가장 힘든 시간</t>
    </r>
    <r>
      <rPr>
        <sz val="9"/>
        <rFont val="Arial"/>
        <family val="0"/>
        <charset val="1"/>
      </rPr>
      <t xml:space="preserve">"</t>
    </r>
  </si>
  <si>
    <r>
      <rPr>
        <sz val="9"/>
        <rFont val="Arial"/>
        <family val="0"/>
        <charset val="1"/>
      </rPr>
      <t xml:space="preserve">[</t>
    </r>
    <r>
      <rPr>
        <sz val="9"/>
        <rFont val="Noto Sans CJK SC"/>
        <family val="2"/>
      </rPr>
      <t xml:space="preserve">아이뉴스</t>
    </r>
    <r>
      <rPr>
        <sz val="9"/>
        <rFont val="Arial"/>
        <family val="0"/>
        <charset val="1"/>
      </rPr>
      <t xml:space="preserve">24 </t>
    </r>
    <r>
      <rPr>
        <sz val="9"/>
        <rFont val="Noto Sans CJK SC"/>
        <family val="2"/>
      </rPr>
      <t xml:space="preserve">김다운 기자</t>
    </r>
    <r>
      <rPr>
        <sz val="9"/>
        <rFont val="Arial"/>
        <family val="0"/>
        <charset val="1"/>
      </rPr>
      <t xml:space="preserve">] </t>
    </r>
    <r>
      <rPr>
        <sz val="9"/>
        <rFont val="Noto Sans CJK SC"/>
        <family val="2"/>
      </rPr>
      <t xml:space="preserve">독립운동가 허석 선생의 후손인 재일교포 허미미</t>
    </r>
    <r>
      <rPr>
        <sz val="9"/>
        <rFont val="Arial"/>
        <family val="0"/>
        <charset val="1"/>
      </rPr>
      <t xml:space="preserve">(</t>
    </r>
    <r>
      <rPr>
        <sz val="9"/>
        <rFont val="Noto Sans CJK SC"/>
        <family val="2"/>
      </rPr>
      <t xml:space="preserve">경북체육회</t>
    </r>
    <r>
      <rPr>
        <sz val="9"/>
        <rFont val="Arial"/>
        <family val="0"/>
        <charset val="1"/>
      </rPr>
      <t xml:space="preserve">)</t>
    </r>
    <r>
      <rPr>
        <sz val="9"/>
        <rFont val="Noto Sans CJK SC"/>
        <family val="2"/>
      </rPr>
      <t xml:space="preserve">가 어깨 부상을 딛고 </t>
    </r>
    <r>
      <rPr>
        <sz val="9"/>
        <rFont val="Arial"/>
        <family val="0"/>
        <charset val="1"/>
      </rPr>
      <t xml:space="preserve">2026 </t>
    </r>
    <r>
      <rPr>
        <sz val="9"/>
        <rFont val="Noto Sans CJK SC"/>
        <family val="2"/>
      </rPr>
      <t xml:space="preserve">아이치</t>
    </r>
    <r>
      <rPr>
        <sz val="9"/>
        <rFont val="Arial"/>
        <family val="0"/>
        <charset val="1"/>
      </rPr>
      <t xml:space="preserve">·</t>
    </r>
    <r>
      <rPr>
        <sz val="9"/>
        <rFont val="Noto Sans CJK SC"/>
        <family val="2"/>
      </rPr>
      <t xml:space="preserve">나고야 아시안게임 유도 여자 </t>
    </r>
    <r>
      <rPr>
        <sz val="9"/>
        <rFont val="Arial"/>
        <family val="0"/>
        <charset val="1"/>
      </rPr>
      <t xml:space="preserve">57</t>
    </r>
    <r>
      <rPr>
        <sz val="9"/>
        <rFont val="Noto Sans CJK SC"/>
        <family val="2"/>
      </rPr>
      <t xml:space="preserve">㎏에서 금메달을 획득했다</t>
    </r>
    <r>
      <rPr>
        <sz val="9"/>
        <rFont val="Arial"/>
        <family val="0"/>
        <charset val="1"/>
      </rPr>
      <t xml:space="preserve">.</t>
    </r>
  </si>
  <si>
    <r>
      <rPr>
        <sz val="9"/>
        <rFont val="Noto Sans CJK SC"/>
        <family val="2"/>
      </rPr>
      <t xml:space="preserve">허미미는 </t>
    </r>
    <r>
      <rPr>
        <sz val="9"/>
        <rFont val="Arial"/>
        <family val="0"/>
        <charset val="1"/>
      </rPr>
      <t xml:space="preserve">1</t>
    </r>
    <r>
      <rPr>
        <sz val="9"/>
        <rFont val="Noto Sans CJK SC"/>
        <family val="2"/>
      </rPr>
      <t xml:space="preserve">일 일본 나고야 아이치 인터내셔널 아레나에서 열린 대회 유도 여자 </t>
    </r>
    <r>
      <rPr>
        <sz val="9"/>
        <rFont val="Arial"/>
        <family val="0"/>
        <charset val="1"/>
      </rPr>
      <t xml:space="preserve">57</t>
    </r>
    <r>
      <rPr>
        <sz val="9"/>
        <rFont val="Noto Sans CJK SC"/>
        <family val="2"/>
      </rPr>
      <t xml:space="preserve">㎏급 결승에서 아리운자야 테르비시</t>
    </r>
    <r>
      <rPr>
        <sz val="9"/>
        <rFont val="Arial"/>
        <family val="0"/>
        <charset val="1"/>
      </rPr>
      <t xml:space="preserve">(</t>
    </r>
    <r>
      <rPr>
        <sz val="9"/>
        <rFont val="Noto Sans CJK SC"/>
        <family val="2"/>
      </rPr>
      <t xml:space="preserve">몽골</t>
    </r>
    <r>
      <rPr>
        <sz val="9"/>
        <rFont val="Arial"/>
        <family val="0"/>
        <charset val="1"/>
      </rPr>
      <t xml:space="preserve">)</t>
    </r>
    <r>
      <rPr>
        <sz val="9"/>
        <rFont val="Noto Sans CJK SC"/>
        <family val="2"/>
      </rPr>
      <t xml:space="preserve">를 업어치기 유효승으로 꺾고 우승했다</t>
    </r>
    <r>
      <rPr>
        <sz val="9"/>
        <rFont val="Arial"/>
        <family val="0"/>
        <charset val="1"/>
      </rPr>
      <t xml:space="preserve">.</t>
    </r>
  </si>
  <si>
    <t xml:space="preserve">South Korea’s Lee to attend UN General Assembly, visit Mexico | FMT</t>
  </si>
  <si>
    <t xml:space="preserve">A potential meeting with US President Donald Trump comes as Seoul and Washington negotiate details of South Korea’s US$350 billion investment package in the United States under a trade deal struck by the allies last year.</t>
  </si>
  <si>
    <t xml:space="preserve">South Korean officials told Reuters the talks were continuing, although Seoul postponed a parliamentary briefing on the plans scheduled for last week.</t>
  </si>
  <si>
    <t xml:space="preserve">S. Korea's special counsel seeks 30-year sentence on appeal for ex-President Yoon in Pyongyang drone case-Xinhua</t>
  </si>
  <si>
    <t xml:space="preserve">SEOUL, Oct. 16 (Xinhua) -- South Korea's special counsel on Friday sought a 30-year prison sentence on appeal for former President Yoon Suk-yeol on charges of general treason linked to a covert drone operation over Pyongyang.</t>
  </si>
  <si>
    <t xml:space="preserve">The team of Cho Eun-suk, an independent counsel who led investigations into Yoon's insurrection and other charges, asked the Seoul High Court to uphold the 30-year sentence initially handed down by a lower court.</t>
  </si>
  <si>
    <t xml:space="preserve">Saudi crude share of S. Korea's imports falls below 30% for 1st time in 5 years - The Korea Times</t>
  </si>
  <si>
    <t xml:space="preserve">File photo of a Saudi Aramco crude oil production facility in Saudi Arabia. AFP-Yonhap</t>
  </si>
  <si>
    <t xml:space="preserve">Saudi Arabian crude oil accounted for less than 30 percent of South Korea's crude imports this year, industry data showed Monday, amid efforts by local refiners to diversify their sources of crude following geopolitical risks in the Middle East.</t>
  </si>
  <si>
    <t xml:space="preserve">Korsel janji terus upayakan untuk mewujudkan damai dengan Korut - ANTARA News</t>
  </si>
  <si>
    <t xml:space="preserve">Islamabad (ANTARA) - Korea Selatan, Minggu, berjanji akan terus berupaya memulihkan dialog dengan Korea Utara dan mengupayakan hidup berdampingan secara damai, demikian menurut laporan media setempat.</t>
  </si>
  <si>
    <t xml:space="preserve">Perdana Menteri Korea Selatan Han Seong-sook mengatakan Seoul akan berupaya meletakkan dasar bagi dimulainya kembali dialog yang telah lama terhenti tersebut, sebagaimana dilaporkan kantor berita Yonhap.</t>
  </si>
  <si>
    <t xml:space="preserve">Russia Employs 25,000 North Koreans in Drone Production</t>
  </si>
  <si>
    <t xml:space="preserve">In brief: Up to 25,000 North Korean citizens are working in Russia to manufacture Iranian-designed drones for the war against Ukraine, in violation of UN sanctions. This is according to a report by the Multilateral Sanctions Monitoring Team (MSMT), cited by Bloomberg and South Korea’s SBS News on Thursday, Sept. 17.</t>
  </si>
  <si>
    <t xml:space="preserve">The South Korean SBS News site has reported that as many as 100,000 North Koreans are working in China and Russia , with the latter employing up to 25,000 of them assembling Iranian-designed drones at the Alabuga Special Economic Zone in Russia’s Tatarstan as well as Russian arms manufacturing, steel processing facilities, and shipbuilding plants.</t>
  </si>
  <si>
    <r>
      <rPr>
        <sz val="9"/>
        <rFont val="Arial"/>
        <family val="0"/>
        <charset val="1"/>
      </rPr>
      <t xml:space="preserve">"</t>
    </r>
    <r>
      <rPr>
        <sz val="9"/>
        <rFont val="Noto Sans CJK SC"/>
        <family val="2"/>
      </rPr>
      <t xml:space="preserve">한국산 석유</t>
    </r>
    <r>
      <rPr>
        <sz val="9"/>
        <rFont val="Arial"/>
        <family val="0"/>
        <charset val="1"/>
      </rPr>
      <t xml:space="preserve">, </t>
    </r>
    <r>
      <rPr>
        <sz val="9"/>
        <rFont val="Noto Sans CJK SC"/>
        <family val="2"/>
      </rPr>
      <t xml:space="preserve">제재 대상 선박 통해 러시아로 수송… 행선지 속여</t>
    </r>
    <r>
      <rPr>
        <sz val="9"/>
        <rFont val="Arial"/>
        <family val="0"/>
        <charset val="1"/>
      </rPr>
      <t xml:space="preserve">"-</t>
    </r>
    <r>
      <rPr>
        <sz val="9"/>
        <rFont val="Noto Sans CJK SC"/>
        <family val="2"/>
      </rPr>
      <t xml:space="preserve">국제ㅣ한국일보</t>
    </r>
  </si>
  <si>
    <r>
      <rPr>
        <sz val="9"/>
        <rFont val="Noto Sans CJK SC"/>
        <family val="2"/>
      </rPr>
      <t xml:space="preserve">유조선 한 척이 지난 </t>
    </r>
    <r>
      <rPr>
        <sz val="9"/>
        <rFont val="Arial"/>
        <family val="0"/>
        <charset val="1"/>
      </rPr>
      <t xml:space="preserve">6</t>
    </r>
    <r>
      <rPr>
        <sz val="9"/>
        <rFont val="Noto Sans CJK SC"/>
        <family val="2"/>
      </rPr>
      <t xml:space="preserve">월 </t>
    </r>
    <r>
      <rPr>
        <sz val="9"/>
        <rFont val="Arial"/>
        <family val="0"/>
        <charset val="1"/>
      </rPr>
      <t xml:space="preserve">25</t>
    </r>
    <r>
      <rPr>
        <sz val="9"/>
        <rFont val="Noto Sans CJK SC"/>
        <family val="2"/>
      </rPr>
      <t xml:space="preserve">일 호르무즈해협 인근 오만 무산담 앞바다를 항해하고 있다</t>
    </r>
    <r>
      <rPr>
        <sz val="9"/>
        <rFont val="Arial"/>
        <family val="0"/>
        <charset val="1"/>
      </rPr>
      <t xml:space="preserve">. </t>
    </r>
    <r>
      <rPr>
        <sz val="9"/>
        <rFont val="Noto Sans CJK SC"/>
        <family val="2"/>
      </rPr>
      <t xml:space="preserve">무산담</t>
    </r>
    <r>
      <rPr>
        <sz val="9"/>
        <rFont val="Arial"/>
        <family val="0"/>
        <charset val="1"/>
      </rPr>
      <t xml:space="preserve">=</t>
    </r>
    <r>
      <rPr>
        <sz val="9"/>
        <rFont val="Noto Sans CJK SC"/>
        <family val="2"/>
      </rPr>
      <t xml:space="preserve">로이터 연합뉴스</t>
    </r>
  </si>
  <si>
    <r>
      <rPr>
        <sz val="9"/>
        <rFont val="Noto Sans CJK SC"/>
        <family val="2"/>
      </rPr>
      <t xml:space="preserve">한국에서 정제된 경유가 유럽연합</t>
    </r>
    <r>
      <rPr>
        <sz val="9"/>
        <rFont val="Arial"/>
        <family val="0"/>
        <charset val="1"/>
      </rPr>
      <t xml:space="preserve">(EU) </t>
    </r>
    <r>
      <rPr>
        <sz val="9"/>
        <rFont val="Noto Sans CJK SC"/>
        <family val="2"/>
      </rPr>
      <t xml:space="preserve">제재 대상 선박들에 실려 러시아 극동 지역으로 수송됐다고 영국 가디언이 </t>
    </r>
    <r>
      <rPr>
        <sz val="9"/>
        <rFont val="Arial"/>
        <family val="0"/>
        <charset val="1"/>
      </rPr>
      <t xml:space="preserve">6</t>
    </r>
    <r>
      <rPr>
        <sz val="9"/>
        <rFont val="Noto Sans CJK SC"/>
        <family val="2"/>
      </rPr>
      <t xml:space="preserve">일</t>
    </r>
    <r>
      <rPr>
        <sz val="9"/>
        <rFont val="Arial"/>
        <family val="0"/>
        <charset val="1"/>
      </rPr>
      <t xml:space="preserve">(</t>
    </r>
    <r>
      <rPr>
        <sz val="9"/>
        <rFont val="Noto Sans CJK SC"/>
        <family val="2"/>
      </rPr>
      <t xml:space="preserve">현지시간</t>
    </r>
    <r>
      <rPr>
        <sz val="9"/>
        <rFont val="Arial"/>
        <family val="0"/>
        <charset val="1"/>
      </rPr>
      <t xml:space="preserve">) </t>
    </r>
    <r>
      <rPr>
        <sz val="9"/>
        <rFont val="Noto Sans CJK SC"/>
        <family val="2"/>
      </rPr>
      <t xml:space="preserve">보도했다</t>
    </r>
    <r>
      <rPr>
        <sz val="9"/>
        <rFont val="Arial"/>
        <family val="0"/>
        <charset val="1"/>
      </rPr>
      <t xml:space="preserve">. </t>
    </r>
    <r>
      <rPr>
        <sz val="9"/>
        <rFont val="Noto Sans CJK SC"/>
        <family val="2"/>
      </rPr>
      <t xml:space="preserve">이번 연료 수출이 한국 법이나 </t>
    </r>
    <r>
      <rPr>
        <sz val="9"/>
        <rFont val="Arial"/>
        <family val="0"/>
        <charset val="1"/>
      </rPr>
      <t xml:space="preserve">EU </t>
    </r>
    <r>
      <rPr>
        <sz val="9"/>
        <rFont val="Noto Sans CJK SC"/>
        <family val="2"/>
      </rPr>
      <t xml:space="preserve">경제 제재를 위반했을 소지는 적지만</t>
    </r>
    <r>
      <rPr>
        <sz val="9"/>
        <rFont val="Arial"/>
        <family val="0"/>
        <charset val="1"/>
      </rPr>
      <t xml:space="preserve">, </t>
    </r>
    <r>
      <rPr>
        <sz val="9"/>
        <rFont val="Noto Sans CJK SC"/>
        <family val="2"/>
      </rPr>
      <t xml:space="preserve">한국과 우크라이나 간 연대를 약화할 가능성이 있다는 주장이 뒤따랐다</t>
    </r>
    <r>
      <rPr>
        <sz val="9"/>
        <rFont val="Arial"/>
        <family val="0"/>
        <charset val="1"/>
      </rPr>
      <t xml:space="preserve">.</t>
    </r>
  </si>
  <si>
    <r>
      <rPr>
        <sz val="9"/>
        <rFont val="Arial"/>
        <family val="0"/>
        <charset val="1"/>
      </rPr>
      <t xml:space="preserve">'</t>
    </r>
    <r>
      <rPr>
        <sz val="9"/>
        <rFont val="Noto Sans CJK SC"/>
        <family val="2"/>
      </rPr>
      <t xml:space="preserve">나기 노트</t>
    </r>
    <r>
      <rPr>
        <sz val="9"/>
        <rFont val="Arial"/>
        <family val="0"/>
        <charset val="1"/>
      </rPr>
      <t xml:space="preserve">' </t>
    </r>
    <r>
      <rPr>
        <sz val="9"/>
        <rFont val="Noto Sans CJK SC"/>
        <family val="2"/>
      </rPr>
      <t xml:space="preserve">후카다 코지 감독 </t>
    </r>
    <r>
      <rPr>
        <sz val="9"/>
        <rFont val="Arial"/>
        <family val="0"/>
        <charset val="1"/>
      </rPr>
      <t xml:space="preserve">"</t>
    </r>
    <r>
      <rPr>
        <sz val="9"/>
        <rFont val="Noto Sans CJK SC"/>
        <family val="2"/>
      </rPr>
      <t xml:space="preserve">칸 영화제에 없는 것</t>
    </r>
    <r>
      <rPr>
        <sz val="9"/>
        <rFont val="Arial"/>
        <family val="0"/>
        <charset val="1"/>
      </rPr>
      <t xml:space="preserve">, </t>
    </r>
    <r>
      <rPr>
        <sz val="9"/>
        <rFont val="Noto Sans CJK SC"/>
        <family val="2"/>
      </rPr>
      <t xml:space="preserve">부산에 있죠</t>
    </r>
    <r>
      <rPr>
        <sz val="9"/>
        <rFont val="Arial"/>
        <family val="0"/>
        <charset val="1"/>
      </rPr>
      <t xml:space="preserve">"[</t>
    </r>
    <r>
      <rPr>
        <sz val="9"/>
        <rFont val="Noto Sans CJK SC"/>
        <family val="2"/>
      </rPr>
      <t xml:space="preserve">인터뷰</t>
    </r>
    <r>
      <rPr>
        <sz val="9"/>
        <rFont val="Arial"/>
        <family val="0"/>
        <charset val="1"/>
      </rPr>
      <t xml:space="preserve">]②</t>
    </r>
  </si>
  <si>
    <t xml:space="preserve">Severnokorejski lider Kim DÅ¾ong Un pozvan da poseti Rusiju</t>
  </si>
  <si>
    <t xml:space="preserve">Η συνάντηση Τραμπ – Σι και η υπόγεια μάχη ΗΠΑ – Κίνας | Η ΚΑΘΗΜΕΡΙΝΗ</t>
  </si>
  <si>
    <t xml:space="preserve">Οταν οι HΠΑ και η Κίνα κατέληξαν σε εμπορική εκεχειρία κατά τη διάρκεια της συνάντησής τους στη Νότια Κορέα πριν από ένα χρόνο, απέτρεψαν μια κρίση που μπορούσε να ξεφύγει από κάθε έλεγχο. Η συμφωνία αυτή ανάγκασε τον πρόεδρο Τραμπ να ανακαλέσει τους δασμούς στα κινεζικά προϊόντα. Ως αντάλλαγμα, η Κίνα δεσμεύτηκε να συνεχίσει τις εξαγωγές κρίσιμων ορυκτών, τις οποίες είχε παγώσει προηγουμένως ως απάντηση στα αμερικανικά μέτρα. Οι διαπραγματευτές τώρα προετοιμάζουν το έδαφος για την επέκταση της διμερούς συμφωνίας ενόψει της συνάντησης του Κινέζου προέδρου Σι Τζινπίνγκ με τον Ντόναλντ Τραμπ στην Ουάσιγκτον αργότερα αυτή την εβδομάδα. Σύμφωνα με Αμερικανούς αξιωματούχους, στην ατζέντα των δύο ηγετών θα βρεθούν η τεχνητή νοημοσύνη και η ενίσχυση του εμπορίου σε μη ευαίσθητους τομείς, όπως η ενέργεια και τα καταναλωτικά προϊόντα.</t>
  </si>
  <si>
    <t xml:space="preserve">Παρά τις επίσημες εκδηλώσεις που έχουν προγραμματιστεί στον Λευκό Οίκο, η εκεχειρία μεταξύ ΗΠΑ και Κίνας ήταν πιο ασταθής από ό,τι μπορεί να φαίνεται. Οι δύο χώρες συνέχισαν να λαμβάνουν μέτρα η μία εναντίον της άλλης –θέτοντας ανά πάσα στιγμή τη συμφωνία σε κίνδυνο– ενώ παράλληλα κατηγορούσαν η μία την άλλη για παραβίαση των δεσμεύσεων που είχαν αναλάβει τον περασμένο Οκτώβριο στην Κορέα. Παράλληλα, οι ΗΠΑ συνεχίζουν να απαγορεύουν τις εισαγωγές κινεζικής τεχνολογίας –από δρομολογητές (ρούτερ) έως ανθρωποειδή ρομπότ– κατηγορώντας πρόσφατα την Κίνα για αντιγραφή αμερικανικών μοντέλων ΑΙ μέσω «βιομηχανικής απόσταξης». Το καλοκαίρι, η κυβέρνηση Τραμπ συμπεριέλαβε μεγάλες κινεζικές επιχειρήσεις σε στρατιωτικές λίστες και μαύρες λίστες εμπορίου, επικαλούμενη φαινόμενα καταναγκαστικής εργασίας.</t>
  </si>
  <si>
    <t xml:space="preserve">Gilėjant diplomatiniam ginčui su Ukraina, Pietų Korėjos ambasadorius grįžo į tėvynę</t>
  </si>
  <si>
    <t xml:space="preserve">Ким Чен Ын: действительно ли лидер КНДР мог впасть в кому</t>
  </si>
  <si>
    <t xml:space="preserve">Его на этом посту может заменить младшая сестра Ким Ё Чжон.</t>
  </si>
  <si>
    <t xml:space="preserve">Северокорейский диктатор Ким Чен Ын мог впасть в кому после кровоизлияния в мозг. Об этом пишет таблоид The Sun , ссылаясь на информацию из интернета.</t>
  </si>
  <si>
    <t xml:space="preserve">Your Samsung Gallery is ditching OneDrive for Google Photos, here's what changes</t>
  </si>
  <si>
    <t xml:space="preserve">Svår politisk balansgång under toppmötet – Kina behöver USA:s marknad men motarbetar dess makt | Utrikes | Svenska Yle</t>
  </si>
  <si>
    <t xml:space="preserve">Ledordet för veckans toppmöte mellan USA:s president Donald Trump och Kinas ledare Xi Jinping i Washington D.C. är ”strategisk stabilitet”, enligt Vita Huset.</t>
  </si>
  <si>
    <t xml:space="preserve">Det här kommer säkerligen att falla Xi i smaken, som själv ofta talar om att Kina vill se stabilitet och välstånd kring sig.</t>
  </si>
  <si>
    <r>
      <rPr>
        <sz val="9"/>
        <rFont val="Noto Sans CJK SC"/>
        <family val="2"/>
      </rPr>
      <t xml:space="preserve">‘면도’ 카사마츠 쇼 “한일 오가며 많이 배워…배우로서 좋은 인생”</t>
    </r>
    <r>
      <rPr>
        <sz val="9"/>
        <rFont val="Arial"/>
        <family val="0"/>
        <charset val="1"/>
      </rPr>
      <t xml:space="preserve">-</t>
    </r>
    <r>
      <rPr>
        <sz val="9"/>
        <rFont val="Noto Sans CJK SC"/>
        <family val="2"/>
      </rPr>
      <t xml:space="preserve">국민일보</t>
    </r>
  </si>
  <si>
    <t xml:space="preserve">New Camellia ferry: Why travellers are rushing to board the overnight Busan to Fukuoka journey</t>
  </si>
  <si>
    <t xml:space="preserve">People are running to board the ferry – running. And not because they’re late. The New Camellia isn’t due to depart for another three hours.</t>
  </si>
  <si>
    <t xml:space="preserve">Still, as I walk down the long boarding hall towards the gangway multiple people push past, trying to hurry while also dragging heavy luggage, puffing as they lollop along.</t>
  </si>
  <si>
    <t xml:space="preserve">Park Jinyoung Is An Elite Interpreter Who Returns To Korea After 10 Years In New Drama "100 Days Of Deception" | Soompi</t>
  </si>
  <si>
    <t xml:space="preserve">Park Jinyoung is set to showcase a new side of him in the upcoming drama “100 Days of Deception”!</t>
  </si>
  <si>
    <t xml:space="preserve">Helmed by director Yoo In Shik of “Extraordinary Attorney Woo” and the “ Dr. Romantic ” series, “100 Days of Deception” is a period spy romance set over 100 days during the Japanese occupation of Korea.</t>
  </si>
  <si>
    <t xml:space="preserve">AJA Newsbites – September 16, 2026 - THE AsiaN</t>
  </si>
  <si>
    <t xml:space="preserve">AJA Newsbites is a curated roundup of major news and developments from across Asia, brought to you by members of Asia Journalist Association (AJA)</t>
  </si>
  <si>
    <t xml:space="preserve">Lee Sang-ki, THE AsiaN, Korea Defense minister nominee Kang Shin-chul faces a confirmation hearing on September 16 amid scrutiny over property transactions involving his family. Kang, a retired Army four-star general and former deputy commander of the ROK-U.S. Combined Forces Command, was nominated partly amid expectations that a seasoned military leader could stabilize the armed forces. Kang and family members — including his father, older brother and aunt — obtained eligibility for apartments through a special program for displaced residents, following address registrations in Seoul’s Guro district that opposition lawmakers call fictitious. His 30-year-old son also purchased a redevelopment-linked commercial property in Bundang for 700 million won, funded entirely through personal debt including interest-free loans from relatives. Kang says the apartment process was legal and that all family members were legitimate displaced-resident beneficiaries. He acknowledged the property issue “fell short of public expectations” but denied any wrongdoing. The hearing is also expected to cover major defense policy issues, including the potential deployment of forces to the Strait of Hormuz, the integration of the three service academies and the transfer of wartime operational control.</t>
  </si>
  <si>
    <t xml:space="preserve">Руденко заявил, что в Сеуле немало сторонников нормализации отношений с Москвой - Новости Mail</t>
  </si>
  <si>
    <t xml:space="preserve">«Убежден, что в Республике Корея имеется немало сторонников нормализации двустороннего политического диалога и восстановления торгово-экономического сотрудничества с Россией», — отметил он, отвечая на соответствующий вопрос.</t>
  </si>
  <si>
    <t xml:space="preserve">При этом Руденко подчеркнул, что потенциальное улучшение отношений между Москвой и Сеулом «невозможно без отказа южнокорейских властей от участия в антироссийской санкционной политике коллективного Запада».</t>
  </si>
  <si>
    <t xml:space="preserve">Corée Du Nord : Pyongyang lance deux missiles vers le Japon, la Corée du Sud dénonce une violation des résolutions de l’ONU -</t>
  </si>
  <si>
    <t xml:space="preserve">La Corée du Nord a lancé deux missiles balistiques vers la mer, en direction du Japon, ce lundi 12 octobre 2026. L’un des missiles a parcouru plus de 900 kilomètres. Les deux engins sont tombés en dehors du territoire japonais et de sa zone économique exclusive. Le Japon n’a signalé aucun dégât.</t>
  </si>
  <si>
    <t xml:space="preserve">La Corée du Sud a détecté les tirs et convoqué une réunion de son Conseil de sécurité nationale. Séoul dénonce une violation des résolutions de l’ONU qui interdisent à Pyongyang de procéder à des essais de missiles balistiques. Il s’agit du quatrième lancement de missiles nord-coréens en un mois.</t>
  </si>
  <si>
    <t xml:space="preserve">Pchenjanas grasina PietÅ³ KorÄjai vÄl transliuoti propagandÄ ir dislokuoti ginklÅ³ pasienyje - LRT</t>
  </si>
  <si>
    <t xml:space="preserve">Å iaurÄs KorÄja pirmadienÄ¯ pagrasino prie sienos su PietÅ³ KorÄja vÄl pradÄti per garsiakalbius transliuoti propagandÄ ir dislokuoti daugiau ginklÅ³, abiem Å¡alims toliau nesutariant dÄl praÄjusÄ¯ mÄnesÄ¯ Ä¯vykusiÅ³ minÅ³ sprogimÅ³, per kuriuos buvo suÅ¾eisti trys PietÅ³ KorÄjos kariai.</t>
  </si>
  <si>
    <t xml:space="preserve">Å Ä¯ mÄnesÄ¯ PietÅ³ KorÄja oficialiai apkaltino Å iaurÄs KorÄjÄ padÄjus rugsÄjo 21 d. pasienyje sprogusias minas ir paragino PchenjanÄ atsipraÅ¡yti bei paÅ¡alinti kitus sprogstamuosius uÅ¾taisus. PrieÅ¡ tai Å iaurÄs KorÄja atsakomybÄ uÅ¾ sprogimus neigÄ ir perspÄjo grieÅ¾tai atsakysianti Ä¯ bet kokias provokacijas.</t>
  </si>
  <si>
    <t xml:space="preserve">Kim Jong Un Hails Apparent Hypersonic Missile as 'Irresistible Force' and 'Incurable Headache' for Enemies | IBTimes UK</t>
  </si>
  <si>
    <t xml:space="preserve">North Korean leader Kim Jong Un has hailed an apparent hypersonic missile as an 'irresistible force' and an 'incurable headache' for his enemies, highlighting Pyongyang's efforts to develop weapons designed to make interception more difficult.</t>
  </si>
  <si>
    <t xml:space="preserve">The remarks followed a missile test that North Korea presented as evidence of its growing military capabilities. The launch raised fresh concerns about the country's weapons programme and its potential to challenge missile defences in South Korea, Japan and the wider region.</t>
  </si>
  <si>
    <t xml:space="preserve">North Korea fires ballistic missiles into Sea of Japan | FMT</t>
  </si>
  <si>
    <t xml:space="preserve">Since the blast that injured three South Korean soldiers in the Seoul-controlled area of the Demilitarised Zone (DMZ), both countries have tested upgraded missile technology.</t>
  </si>
  <si>
    <t xml:space="preserve">North Korea confirmed that it test-fired a “tactical ballistic missile to confirm the success in the research for the technical upgrading of an important core element,” KCNA news agency reported Tuesday, without elaborating.</t>
  </si>
  <si>
    <t xml:space="preserve">Trump lays out the pomp for Xi but says little about the significant tensions in US-China relations :: WRAL.com</t>
  </si>
  <si>
    <t xml:space="preserve">WASHINGTON (AP) — Presidents Donald Trump and Xi Jinping met for high stakes talks on Thursday at an urgent moment for the U.S.-China relationship, with the world’s preeminent powers divided on the war in Iran and still grappling to find common ground on trade and how to best navigate the jarring advances of artificial intelligence.</t>
  </si>
  <si>
    <t xml:space="preserve">With their countries in a generational contest for economic and technological dominance, the two appear to be betting that a combination of personal rapport and mutual interest can prevent the competition from boiling over into open conflict.</t>
  </si>
  <si>
    <t xml:space="preserve">NIS: US Intelligence Sharing Remains Broad Despite Some Restrictions l KBS WORLD</t>
  </si>
  <si>
    <t xml:space="preserve">Creative [4K] &amp;TEAM, EVAN, MINHO, VERIVERY, TUIDE, PENTAGON, hrtz.wav, ALL(H)OURS, MCND, YOUNGTAK | On the way to Music Bank 260918 2026-09-18</t>
  </si>
  <si>
    <t xml:space="preserve">Раскрыто, как Южная Корея решила вопрос с Украиной после скандала - МК</t>
  </si>
  <si>
    <r>
      <rPr>
        <sz val="9"/>
        <rFont val="Noto Sans CJK SC"/>
        <family val="2"/>
      </rPr>
      <t xml:space="preserve">박 지사</t>
    </r>
    <r>
      <rPr>
        <sz val="9"/>
        <rFont val="Arial"/>
        <family val="0"/>
        <charset val="1"/>
      </rPr>
      <t xml:space="preserve">, </t>
    </r>
    <r>
      <rPr>
        <sz val="9"/>
        <rFont val="Noto Sans CJK SC"/>
        <family val="2"/>
      </rPr>
      <t xml:space="preserve">남동발전 사장과 발전</t>
    </r>
    <r>
      <rPr>
        <sz val="9"/>
        <rFont val="Arial"/>
        <family val="0"/>
        <charset val="1"/>
      </rPr>
      <t xml:space="preserve">5</t>
    </r>
    <r>
      <rPr>
        <sz val="9"/>
        <rFont val="Noto Sans CJK SC"/>
        <family val="2"/>
      </rPr>
      <t xml:space="preserve">사 통합본부 유치 협력 당부 </t>
    </r>
    <r>
      <rPr>
        <sz val="9"/>
        <rFont val="Arial"/>
        <family val="0"/>
        <charset val="1"/>
      </rPr>
      <t xml:space="preserve">:: </t>
    </r>
    <r>
      <rPr>
        <sz val="9"/>
        <rFont val="Noto Sans CJK SC"/>
        <family val="2"/>
      </rPr>
      <t xml:space="preserve">경남신문</t>
    </r>
  </si>
  <si>
    <r>
      <rPr>
        <sz val="9"/>
        <rFont val="Noto Sans CJK SC"/>
        <family val="2"/>
      </rPr>
      <t xml:space="preserve">경남도는 박완수 경남도지사가 지난 </t>
    </r>
    <r>
      <rPr>
        <sz val="9"/>
        <rFont val="Arial"/>
        <family val="0"/>
        <charset val="1"/>
      </rPr>
      <t xml:space="preserve">12</t>
    </r>
    <r>
      <rPr>
        <sz val="9"/>
        <rFont val="Noto Sans CJK SC"/>
        <family val="2"/>
      </rPr>
      <t xml:space="preserve">일 경남도청을 방문한 이현빈 한국남동발전 신임 사장과 발전공기업 통합본사 경남 유치와 해상풍력사업 추진에 대해 논의했다고 밝혔다</t>
    </r>
    <r>
      <rPr>
        <sz val="9"/>
        <rFont val="Arial"/>
        <family val="0"/>
        <charset val="1"/>
      </rPr>
      <t xml:space="preserve">.</t>
    </r>
  </si>
  <si>
    <r>
      <rPr>
        <sz val="9"/>
        <rFont val="Noto Sans CJK SC"/>
        <family val="2"/>
      </rPr>
      <t xml:space="preserve">박 지사는 “발전공기업 통합과 관련해 기관별 기능과 역할에 대한 충분한 검토와 국가 에너지산업의 경쟁력과 효율성을 높이는 방향으로 통합이 추진돼야 한다”며 “ 한국남동발전 본사가 이미 진주에 자리 잡고 있으며</t>
    </r>
    <r>
      <rPr>
        <sz val="9"/>
        <rFont val="Arial"/>
        <family val="0"/>
        <charset val="1"/>
      </rPr>
      <t xml:space="preserve">, </t>
    </r>
    <r>
      <rPr>
        <sz val="9"/>
        <rFont val="Noto Sans CJK SC"/>
        <family val="2"/>
      </rPr>
      <t xml:space="preserve">본사 인근의 기존 건물을 활용하면 새로운 청사를 건립하는 데 드는 비용을 줄일 수 있고</t>
    </r>
    <r>
      <rPr>
        <sz val="9"/>
        <rFont val="Arial"/>
        <family val="0"/>
        <charset val="1"/>
      </rPr>
      <t xml:space="preserve">, </t>
    </r>
    <r>
      <rPr>
        <sz val="9"/>
        <rFont val="Noto Sans CJK SC"/>
        <family val="2"/>
      </rPr>
      <t xml:space="preserve">혁신도시의 정주여건도 우수하다”고 강조했다</t>
    </r>
    <r>
      <rPr>
        <sz val="9"/>
        <rFont val="Arial"/>
        <family val="0"/>
        <charset val="1"/>
      </rPr>
      <t xml:space="preserve">.</t>
    </r>
  </si>
  <si>
    <t xml:space="preserve">Polestar Has Sold Nearly All of Its Existing U.S. Inventory: Report</t>
  </si>
  <si>
    <t xml:space="preserve">Polestar will be exiting the United States market as of the 2027 model year, and your chances to buy one here are apparently slimming fast, as the Swedish-based-Chinese-owned automaker has nearly sold out its domestic inventory according to Reuters. A late push from U.S. buyers helped Polestar post a 1-percent sales increase in the third quarter.</t>
  </si>
  <si>
    <t xml:space="preserve">Polestar CEO Michael Lohscheller told Reuters on Thursday, October 8, that the automaker is close to selling out its remaining model-year 2026 cars in the U.S. As part of Polestar’s U.S. sales ban under the U.S. Department of Commerce’s  Connected Vehicle rules , the automaker will be blocked from selling any 2027 model-year units here. Security concerns around Polestar’s Chinese majority owner—Zhejiang Geely Holding Group—reportedly drove the Department of Commerce to push for the ban.</t>
  </si>
  <si>
    <r>
      <rPr>
        <sz val="9"/>
        <rFont val="Noto Sans CJK SC"/>
        <family val="2"/>
      </rPr>
      <t xml:space="preserve">붉은 아기단풍과 천년 은행나무가 부른다…가을 비경 </t>
    </r>
    <r>
      <rPr>
        <sz val="9"/>
        <rFont val="Arial"/>
        <family val="0"/>
        <charset val="1"/>
      </rPr>
      <t xml:space="preserve">6</t>
    </r>
    <r>
      <rPr>
        <sz val="9"/>
        <rFont val="Noto Sans CJK SC"/>
        <family val="2"/>
      </rPr>
      <t xml:space="preserve">선 </t>
    </r>
    <r>
      <rPr>
        <sz val="9"/>
        <rFont val="Arial"/>
        <family val="0"/>
        <charset val="1"/>
      </rPr>
      <t xml:space="preserve">- </t>
    </r>
    <r>
      <rPr>
        <sz val="9"/>
        <rFont val="Noto Sans CJK SC"/>
        <family val="2"/>
      </rPr>
      <t xml:space="preserve">헤럴드경제</t>
    </r>
  </si>
  <si>
    <t xml:space="preserve">Records show Whitmer’s eight-day South Korea, Taiwan trip cost about $205K – Michigan Capitol Confidential</t>
  </si>
  <si>
    <t xml:space="preserve">About | Print Edition | Donate | |</t>
  </si>
  <si>
    <t xml:space="preserve">Gov. Gretchen Whitmer spent about $204,941 on an eight-day September trip to South Korea and Taiwan, according to documents Michigan Capitol Confidential obtained through a records request.</t>
  </si>
  <si>
    <t xml:space="preserve">Atomwaffen: Trump rechtfertigt Doppelstandard mit Kim-Freundschaft</t>
  </si>
  <si>
    <t xml:space="preserve">Stand: 01.10.2026, 05:11 Uhr</t>
  </si>
  <si>
    <t xml:space="preserve">Kim Hyun Joo And Lee Moo Saeng Join Forces As Fake Married Couple To Take On Jin Sun Kyu In “100 Days Of Deception” | Soompi</t>
  </si>
  <si>
    <t xml:space="preserve">The upcoming drama “100 Days of Deception” has unveiled new stills of Kim Hyun Joo , Lee Moo Saeng , and Jin Sun Kyu !</t>
  </si>
  <si>
    <t xml:space="preserve">Јужнокорејски председник позвао САД да ублаже санкције Северној Кореји</t>
  </si>
  <si>
    <t xml:space="preserve">СЕУЛ – Јужнокорејски председник Ли Џе-мјунг позвао је Сједињене Америчке Државе да ублаже санкције Северној Кореји уколико Пјонгјанг пристане да обустави даљи развој нуклеарног оружја и интерконтиненталних балистичких ракета, оценивши да инсистирање на потпуној денуклеаризацији као првом кораку у садашњим околностима не даје резултате.</t>
  </si>
  <si>
    <t xml:space="preserve">Ли је у интервјуу за „Њујорк тајмс”, објављеном током његовог боравка у Њујорку поводом заседања Генералне скупштине УН, предложио постепени приступ севернокорејском нуклеарном питању, заснован на принципу уступака са обе стране.</t>
  </si>
  <si>
    <r>
      <rPr>
        <sz val="9"/>
        <rFont val="Noto Sans CJK SC"/>
        <family val="2"/>
      </rPr>
      <t xml:space="preserve">금융권 </t>
    </r>
    <r>
      <rPr>
        <sz val="9"/>
        <rFont val="Arial"/>
        <family val="0"/>
        <charset val="1"/>
      </rPr>
      <t xml:space="preserve">AI</t>
    </r>
    <r>
      <rPr>
        <sz val="9"/>
        <rFont val="Noto Sans CJK SC"/>
        <family val="2"/>
      </rPr>
      <t xml:space="preserve">해킹에 보안 강화 긴급 권고…</t>
    </r>
    <r>
      <rPr>
        <sz val="9"/>
        <rFont val="Arial"/>
        <family val="0"/>
        <charset val="1"/>
      </rPr>
      <t xml:space="preserve">"</t>
    </r>
    <r>
      <rPr>
        <sz val="9"/>
        <rFont val="Noto Sans CJK SC"/>
        <family val="2"/>
      </rPr>
      <t xml:space="preserve">웹</t>
    </r>
    <r>
      <rPr>
        <sz val="9"/>
        <rFont val="Arial"/>
        <family val="0"/>
        <charset val="1"/>
      </rPr>
      <t xml:space="preserve">·API </t>
    </r>
    <r>
      <rPr>
        <sz val="9"/>
        <rFont val="Noto Sans CJK SC"/>
        <family val="2"/>
      </rPr>
      <t xml:space="preserve">취약점 우선 점검해야</t>
    </r>
    <r>
      <rPr>
        <sz val="9"/>
        <rFont val="Arial"/>
        <family val="0"/>
        <charset val="1"/>
      </rPr>
      <t xml:space="preserve">" - </t>
    </r>
    <r>
      <rPr>
        <sz val="9"/>
        <rFont val="Noto Sans CJK SC"/>
        <family val="2"/>
      </rPr>
      <t xml:space="preserve">파이낸셜뉴스</t>
    </r>
  </si>
  <si>
    <r>
      <rPr>
        <sz val="9"/>
        <rFont val="Arial"/>
        <family val="0"/>
        <charset val="1"/>
      </rPr>
      <t xml:space="preserve">(</t>
    </r>
    <r>
      <rPr>
        <sz val="9"/>
        <rFont val="Noto Sans CJK SC"/>
        <family val="2"/>
      </rPr>
      <t xml:space="preserve">서울</t>
    </r>
    <r>
      <rPr>
        <sz val="9"/>
        <rFont val="Arial"/>
        <family val="0"/>
        <charset val="1"/>
      </rPr>
      <t xml:space="preserve">=</t>
    </r>
    <r>
      <rPr>
        <sz val="9"/>
        <rFont val="Noto Sans CJK SC"/>
        <family val="2"/>
      </rPr>
      <t xml:space="preserve">뉴스</t>
    </r>
    <r>
      <rPr>
        <sz val="9"/>
        <rFont val="Arial"/>
        <family val="0"/>
        <charset val="1"/>
      </rPr>
      <t xml:space="preserve">1) </t>
    </r>
    <r>
      <rPr>
        <sz val="9"/>
        <rFont val="Noto Sans CJK SC"/>
        <family val="2"/>
      </rPr>
      <t xml:space="preserve">한수민 기자 </t>
    </r>
    <r>
      <rPr>
        <sz val="9"/>
        <rFont val="Arial"/>
        <family val="0"/>
        <charset val="1"/>
      </rPr>
      <t xml:space="preserve">= </t>
    </r>
    <r>
      <rPr>
        <sz val="9"/>
        <rFont val="Noto Sans CJK SC"/>
        <family val="2"/>
      </rPr>
      <t xml:space="preserve">국내 금융권을 대상으로 한 해킹 공격이 이어지자 관계당국이 긴급 권고를 내놨다</t>
    </r>
    <r>
      <rPr>
        <sz val="9"/>
        <rFont val="Arial"/>
        <family val="0"/>
        <charset val="1"/>
      </rPr>
      <t xml:space="preserve">.</t>
    </r>
  </si>
  <si>
    <r>
      <rPr>
        <sz val="9"/>
        <rFont val="Noto Sans CJK SC"/>
        <family val="2"/>
      </rPr>
      <t xml:space="preserve">한국인터넷진흥원</t>
    </r>
    <r>
      <rPr>
        <sz val="9"/>
        <rFont val="Arial"/>
        <family val="0"/>
        <charset val="1"/>
      </rPr>
      <t xml:space="preserve">(KISA) </t>
    </r>
    <r>
      <rPr>
        <sz val="9"/>
        <rFont val="Noto Sans CJK SC"/>
        <family val="2"/>
      </rPr>
      <t xml:space="preserve">위협분석단 </t>
    </r>
    <r>
      <rPr>
        <sz val="9"/>
        <rFont val="Arial"/>
        <family val="0"/>
        <charset val="1"/>
      </rPr>
      <t xml:space="preserve">AI</t>
    </r>
    <r>
      <rPr>
        <sz val="9"/>
        <rFont val="Noto Sans CJK SC"/>
        <family val="2"/>
      </rPr>
      <t xml:space="preserve">종합분석팀은 </t>
    </r>
    <r>
      <rPr>
        <sz val="9"/>
        <rFont val="Arial"/>
        <family val="0"/>
        <charset val="1"/>
      </rPr>
      <t xml:space="preserve">'</t>
    </r>
    <r>
      <rPr>
        <sz val="9"/>
        <rFont val="Noto Sans CJK SC"/>
        <family val="2"/>
      </rPr>
      <t xml:space="preserve">사이버공격 대비 기업 보안강화 권고</t>
    </r>
    <r>
      <rPr>
        <sz val="9"/>
        <rFont val="Arial"/>
        <family val="0"/>
        <charset val="1"/>
      </rPr>
      <t xml:space="preserve">'</t>
    </r>
    <r>
      <rPr>
        <sz val="9"/>
        <rFont val="Noto Sans CJK SC"/>
        <family val="2"/>
      </rPr>
      <t xml:space="preserve">를 발표하고 최근 초기 침입에 자주 악용되는 웹</t>
    </r>
    <r>
      <rPr>
        <sz val="9"/>
        <rFont val="Arial"/>
        <family val="0"/>
        <charset val="1"/>
      </rPr>
      <t xml:space="preserve">·API </t>
    </r>
    <r>
      <rPr>
        <sz val="9"/>
        <rFont val="Noto Sans CJK SC"/>
        <family val="2"/>
      </rPr>
      <t xml:space="preserve">취약점과 인증정보 노출 여부를 우선 점검할 것을 권고했다</t>
    </r>
    <r>
      <rPr>
        <sz val="9"/>
        <rFont val="Arial"/>
        <family val="0"/>
        <charset val="1"/>
      </rPr>
      <t xml:space="preserve">.</t>
    </r>
  </si>
  <si>
    <t xml:space="preserve">Tag: south_korea — newsroomamerica.com</t>
  </si>
  <si>
    <t xml:space="preserve">26 Sep 2026 9:17 a.m. · Source: TIME magazine</t>
  </si>
  <si>
    <t xml:space="preserve">TIME reports on a weekend essay questioning the Grammys' new Best Asian Pop Music Performance category after BTS declined to submit, and on legal questions surrounding Trump's ban of news outlets from the White House.</t>
  </si>
  <si>
    <t xml:space="preserve">코드</t>
  </si>
  <si>
    <r>
      <rPr>
        <b val="true"/>
        <sz val="9"/>
        <color rgb="FFFFFFFF"/>
        <rFont val="Arial"/>
        <family val="0"/>
        <charset val="1"/>
      </rPr>
      <t xml:space="preserve">CAMEO </t>
    </r>
    <r>
      <rPr>
        <b val="true"/>
        <sz val="9"/>
        <color rgb="FFFFFFFF"/>
        <rFont val="Noto Sans CJK SC"/>
        <family val="2"/>
      </rPr>
      <t xml:space="preserve">공식 명칭</t>
    </r>
  </si>
  <si>
    <t xml:space="preserve">Goldstein</t>
  </si>
  <si>
    <t xml:space="preserve">010</t>
  </si>
  <si>
    <t xml:space="preserve">MAKE PUBLIC STATEMENT</t>
  </si>
  <si>
    <t xml:space="preserve">020</t>
  </si>
  <si>
    <t xml:space="preserve">APPEAL</t>
  </si>
  <si>
    <t xml:space="preserve">030</t>
  </si>
  <si>
    <t xml:space="preserve">EXPRESS INTENT TO COOPERATE</t>
  </si>
  <si>
    <t xml:space="preserve">040</t>
  </si>
  <si>
    <t xml:space="preserve">CONSULT</t>
  </si>
  <si>
    <t xml:space="preserve">050</t>
  </si>
  <si>
    <t xml:space="preserve">ENGAGE IN DIPLOMATIC COOPERATION</t>
  </si>
  <si>
    <t xml:space="preserve">060</t>
  </si>
  <si>
    <t xml:space="preserve">ENGAGE IN MATERIAL COOPERATION</t>
  </si>
  <si>
    <t xml:space="preserve">070</t>
  </si>
  <si>
    <t xml:space="preserve">PROVIDE AID</t>
  </si>
  <si>
    <t xml:space="preserve">080</t>
  </si>
  <si>
    <t xml:space="preserve">YIELD</t>
  </si>
  <si>
    <t xml:space="preserve">090</t>
  </si>
  <si>
    <t xml:space="preserve">INVESTIGATE</t>
  </si>
  <si>
    <t xml:space="preserve">100</t>
  </si>
  <si>
    <t xml:space="preserve">DEMAND</t>
  </si>
  <si>
    <t xml:space="preserve">110</t>
  </si>
  <si>
    <t xml:space="preserve">DISAPPROVE</t>
  </si>
  <si>
    <t xml:space="preserve">120</t>
  </si>
  <si>
    <t xml:space="preserve">REJECT</t>
  </si>
  <si>
    <t xml:space="preserve">130</t>
  </si>
  <si>
    <t xml:space="preserve">THREATEN</t>
  </si>
  <si>
    <t xml:space="preserve">140</t>
  </si>
  <si>
    <t xml:space="preserve">PROTEST</t>
  </si>
  <si>
    <t xml:space="preserve">EXHIBIT FORCE POSTURE</t>
  </si>
  <si>
    <t xml:space="preserve">160</t>
  </si>
  <si>
    <t xml:space="preserve">REDUCE RELATIONS</t>
  </si>
  <si>
    <t xml:space="preserve">170</t>
  </si>
  <si>
    <t xml:space="preserve">COERCE</t>
  </si>
  <si>
    <t xml:space="preserve">공표표 확인 요망</t>
  </si>
  <si>
    <t xml:space="preserve">180</t>
  </si>
  <si>
    <t xml:space="preserve">ASSAULT</t>
  </si>
  <si>
    <t xml:space="preserve">190</t>
  </si>
  <si>
    <t xml:space="preserve">FIGHT</t>
  </si>
  <si>
    <t xml:space="preserve">200</t>
  </si>
  <si>
    <t xml:space="preserve">USE UNCONVENTIONAL MASS VIOLENCE</t>
  </si>
  <si>
    <t xml:space="preserve">016</t>
  </si>
  <si>
    <t xml:space="preserve">Reject accusation, deny responsibility</t>
  </si>
  <si>
    <t xml:space="preserve">025</t>
  </si>
  <si>
    <t xml:space="preserve">Appeal to yield</t>
  </si>
  <si>
    <t xml:space="preserve">045</t>
  </si>
  <si>
    <t xml:space="preserve">Engage in mediation</t>
  </si>
  <si>
    <t xml:space="preserve">046</t>
  </si>
  <si>
    <t xml:space="preserve">Engage in negotiation</t>
  </si>
  <si>
    <t xml:space="preserve">054</t>
  </si>
  <si>
    <t xml:space="preserve">Grant diplomatic recognition</t>
  </si>
  <si>
    <t xml:space="preserve">055</t>
  </si>
  <si>
    <t xml:space="preserve">Apologize</t>
  </si>
  <si>
    <t xml:space="preserve">057</t>
  </si>
  <si>
    <t xml:space="preserve">Sign formal agreement</t>
  </si>
  <si>
    <t xml:space="preserve">084</t>
  </si>
  <si>
    <t xml:space="preserve">Return, release</t>
  </si>
  <si>
    <t xml:space="preserve">085</t>
  </si>
  <si>
    <t xml:space="preserve">Ease economic sanctions, boycott, embargo</t>
  </si>
  <si>
    <t xml:space="preserve">087</t>
  </si>
  <si>
    <t xml:space="preserve">De-escalate military engagement</t>
  </si>
  <si>
    <t xml:space="preserve">0871</t>
  </si>
  <si>
    <t xml:space="preserve">Declare truce, ceasefire</t>
  </si>
  <si>
    <t xml:space="preserve">0874</t>
  </si>
  <si>
    <t xml:space="preserve">Retreat or surrender militarily</t>
  </si>
  <si>
    <t xml:space="preserve">138</t>
  </si>
  <si>
    <t xml:space="preserve">Threaten with military force</t>
  </si>
  <si>
    <t xml:space="preserve">163</t>
  </si>
  <si>
    <t xml:space="preserve">Impose embargo, boycott, or sanctions</t>
  </si>
  <si>
    <t xml:space="preserve">164</t>
  </si>
  <si>
    <t xml:space="preserve">Halt negotiations</t>
  </si>
  <si>
    <r>
      <rPr>
        <i val="true"/>
        <sz val="9"/>
        <color rgb="FF555555"/>
        <rFont val="Noto Sans CJK SC"/>
        <family val="2"/>
      </rPr>
      <t xml:space="preserve">루트 </t>
    </r>
    <r>
      <rPr>
        <i val="true"/>
        <sz val="9"/>
        <color rgb="FF555555"/>
        <rFont val="Arial"/>
        <family val="0"/>
        <charset val="1"/>
      </rPr>
      <t xml:space="preserve">20</t>
    </r>
    <r>
      <rPr>
        <i val="true"/>
        <sz val="9"/>
        <color rgb="FF555555"/>
        <rFont val="Noto Sans CJK SC"/>
        <family val="2"/>
      </rPr>
      <t xml:space="preserve">개 </t>
    </r>
    <r>
      <rPr>
        <i val="true"/>
        <sz val="9"/>
        <color rgb="FF555555"/>
        <rFont val="Arial"/>
        <family val="0"/>
        <charset val="1"/>
      </rPr>
      <t xml:space="preserve">+ </t>
    </r>
    <r>
      <rPr>
        <i val="true"/>
        <sz val="9"/>
        <color rgb="FF555555"/>
        <rFont val="Noto Sans CJK SC"/>
        <family val="2"/>
      </rPr>
      <t xml:space="preserve">세부 </t>
    </r>
    <r>
      <rPr>
        <i val="true"/>
        <sz val="9"/>
        <color rgb="FF555555"/>
        <rFont val="Arial"/>
        <family val="0"/>
        <charset val="1"/>
      </rPr>
      <t xml:space="preserve">15</t>
    </r>
    <r>
      <rPr>
        <i val="true"/>
        <sz val="9"/>
        <color rgb="FF555555"/>
        <rFont val="Noto Sans CJK SC"/>
        <family val="2"/>
      </rPr>
      <t xml:space="preserve">개</t>
    </r>
    <r>
      <rPr>
        <i val="true"/>
        <sz val="9"/>
        <color rgb="FF555555"/>
        <rFont val="Arial"/>
        <family val="0"/>
        <charset val="1"/>
      </rPr>
      <t xml:space="preserve">. </t>
    </r>
    <r>
      <rPr>
        <i val="true"/>
        <sz val="9"/>
        <color rgb="FF555555"/>
        <rFont val="Noto Sans CJK SC"/>
        <family val="2"/>
      </rPr>
      <t xml:space="preserve">목록에 없는 </t>
    </r>
    <r>
      <rPr>
        <i val="true"/>
        <sz val="9"/>
        <color rgb="FF555555"/>
        <rFont val="Arial"/>
        <family val="0"/>
        <charset val="1"/>
      </rPr>
      <t xml:space="preserve">CAMEO </t>
    </r>
    <r>
      <rPr>
        <i val="true"/>
        <sz val="9"/>
        <color rgb="FF555555"/>
        <rFont val="Noto Sans CJK SC"/>
        <family val="2"/>
      </rPr>
      <t xml:space="preserve">코드는 루트로 접는다 </t>
    </r>
    <r>
      <rPr>
        <i val="true"/>
        <sz val="9"/>
        <color rgb="FF555555"/>
        <rFont val="Arial"/>
        <family val="0"/>
        <charset val="1"/>
      </rPr>
      <t xml:space="preserve">(111·112·115 -&gt; 110, 154 -&gt; 150, 193·194 -&gt; 190).</t>
    </r>
  </si>
</sst>
</file>

<file path=xl/styles.xml><?xml version="1.0" encoding="utf-8"?>
<styleSheet xmlns="http://schemas.openxmlformats.org/spreadsheetml/2006/main">
  <numFmts count="2">
    <numFmt numFmtId="164" formatCode="General"/>
    <numFmt numFmtId="165" formatCode="\+0.0;\-0.0;0.0"/>
  </numFmts>
  <fonts count="2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Noto Sans CJK SC"/>
      <family val="2"/>
    </font>
    <font>
      <sz val="10"/>
      <name val="Arial"/>
      <family val="0"/>
      <charset val="1"/>
    </font>
    <font>
      <b val="true"/>
      <sz val="10"/>
      <name val="Noto Sans CJK SC"/>
      <family val="2"/>
    </font>
    <font>
      <sz val="10"/>
      <name val="Noto Sans CJK SC"/>
      <family val="2"/>
    </font>
    <font>
      <b val="true"/>
      <sz val="10"/>
      <name val="Arial"/>
      <family val="0"/>
      <charset val="1"/>
    </font>
    <font>
      <b val="true"/>
      <sz val="10"/>
      <color rgb="FFC00000"/>
      <name val="Noto Sans CJK SC"/>
      <family val="2"/>
    </font>
    <font>
      <b val="true"/>
      <sz val="10"/>
      <color rgb="FFC00000"/>
      <name val="Arial"/>
      <family val="0"/>
      <charset val="1"/>
    </font>
    <font>
      <b val="true"/>
      <sz val="9"/>
      <color rgb="FFFFFFFF"/>
      <name val="Arial"/>
      <family val="0"/>
      <charset val="1"/>
    </font>
    <font>
      <b val="true"/>
      <sz val="9"/>
      <color rgb="FFFFFFFF"/>
      <name val="Noto Sans CJK SC"/>
      <family val="2"/>
    </font>
    <font>
      <i val="true"/>
      <sz val="9"/>
      <name val="Noto Sans CJK SC"/>
      <family val="2"/>
    </font>
    <font>
      <i val="true"/>
      <sz val="9"/>
      <name val="Arial"/>
      <family val="0"/>
      <charset val="1"/>
    </font>
    <font>
      <sz val="9"/>
      <name val="Arial"/>
      <family val="0"/>
      <charset val="1"/>
    </font>
    <font>
      <sz val="9"/>
      <name val="Noto Sans CJK SC"/>
      <family val="2"/>
    </font>
    <font>
      <i val="true"/>
      <sz val="9"/>
      <color rgb="FF555555"/>
      <name val="Noto Sans CJK SC"/>
      <family val="2"/>
    </font>
    <font>
      <i val="true"/>
      <sz val="9"/>
      <color rgb="FF555555"/>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2CC"/>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E2EFDA"/>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6"/>
  </cols>
  <sheetData>
    <row r="1" customFormat="false" ht="21.6" hidden="false" customHeight="false" outlineLevel="0" collapsed="false">
      <c r="A1" s="1" t="s">
        <v>0</v>
      </c>
    </row>
    <row r="2" customFormat="false" ht="15" hidden="false" customHeight="false" outlineLevel="0" collapsed="false">
      <c r="A2" s="2"/>
      <c r="B2" s="3"/>
    </row>
    <row r="3" customFormat="false" ht="29.85" hidden="false" customHeight="false" outlineLevel="0" collapsed="false">
      <c r="A3" s="4" t="s">
        <v>1</v>
      </c>
      <c r="B3" s="3" t="s">
        <v>2</v>
      </c>
    </row>
    <row r="4" customFormat="false" ht="15" hidden="false" customHeight="false" outlineLevel="0" collapsed="false">
      <c r="A4" s="4" t="s">
        <v>3</v>
      </c>
      <c r="B4" s="5" t="s">
        <v>4</v>
      </c>
    </row>
    <row r="5" customFormat="false" ht="15" hidden="false" customHeight="false" outlineLevel="0" collapsed="false">
      <c r="A5" s="2"/>
      <c r="B5" s="3"/>
    </row>
    <row r="6" customFormat="false" ht="15" hidden="false" customHeight="false" outlineLevel="0" collapsed="false">
      <c r="A6" s="4" t="s">
        <v>5</v>
      </c>
      <c r="B6" s="3" t="s">
        <v>6</v>
      </c>
    </row>
    <row r="7" customFormat="false" ht="15" hidden="false" customHeight="false" outlineLevel="0" collapsed="false">
      <c r="A7" s="2"/>
      <c r="B7" s="5" t="s">
        <v>7</v>
      </c>
    </row>
    <row r="8" customFormat="false" ht="15" hidden="false" customHeight="false" outlineLevel="0" collapsed="false">
      <c r="A8" s="2"/>
      <c r="B8" s="3" t="s">
        <v>8</v>
      </c>
    </row>
    <row r="9" customFormat="false" ht="15" hidden="false" customHeight="false" outlineLevel="0" collapsed="false">
      <c r="A9" s="2"/>
      <c r="B9" s="3" t="s">
        <v>9</v>
      </c>
    </row>
    <row r="10" customFormat="false" ht="15" hidden="false" customHeight="false" outlineLevel="0" collapsed="false">
      <c r="A10" s="2"/>
      <c r="B10" s="3" t="s">
        <v>10</v>
      </c>
    </row>
    <row r="11" customFormat="false" ht="15" hidden="false" customHeight="false" outlineLevel="0" collapsed="false">
      <c r="A11" s="2"/>
      <c r="B11" s="3"/>
    </row>
    <row r="12" customFormat="false" ht="15" hidden="false" customHeight="false" outlineLevel="0" collapsed="false">
      <c r="A12" s="4" t="s">
        <v>11</v>
      </c>
      <c r="B12" s="5" t="s">
        <v>12</v>
      </c>
    </row>
    <row r="13" customFormat="false" ht="15" hidden="false" customHeight="false" outlineLevel="0" collapsed="false">
      <c r="A13" s="2"/>
      <c r="B13" s="5" t="s">
        <v>13</v>
      </c>
    </row>
    <row r="14" customFormat="false" ht="15" hidden="false" customHeight="false" outlineLevel="0" collapsed="false">
      <c r="A14" s="2"/>
      <c r="B14" s="5" t="s">
        <v>14</v>
      </c>
    </row>
    <row r="15" customFormat="false" ht="15" hidden="false" customHeight="false" outlineLevel="0" collapsed="false">
      <c r="A15" s="2"/>
      <c r="B15" s="3" t="s">
        <v>15</v>
      </c>
    </row>
    <row r="16" customFormat="false" ht="15" hidden="false" customHeight="false" outlineLevel="0" collapsed="false">
      <c r="A16" s="2"/>
      <c r="B16" s="3"/>
    </row>
    <row r="17" customFormat="false" ht="15" hidden="false" customHeight="false" outlineLevel="0" collapsed="false">
      <c r="A17" s="4" t="s">
        <v>16</v>
      </c>
      <c r="B17" s="5" t="s">
        <v>17</v>
      </c>
    </row>
    <row r="18" customFormat="false" ht="15" hidden="false" customHeight="false" outlineLevel="0" collapsed="false">
      <c r="A18" s="2"/>
      <c r="B18" s="5" t="s">
        <v>18</v>
      </c>
    </row>
    <row r="19" customFormat="false" ht="15" hidden="false" customHeight="false" outlineLevel="0" collapsed="false">
      <c r="A19" s="2"/>
      <c r="B19" s="5" t="s">
        <v>19</v>
      </c>
    </row>
    <row r="20" customFormat="false" ht="15" hidden="false" customHeight="false" outlineLevel="0" collapsed="false">
      <c r="A20" s="2"/>
      <c r="B20" s="3"/>
    </row>
    <row r="21" customFormat="false" ht="15" hidden="false" customHeight="false" outlineLevel="0" collapsed="false">
      <c r="A21" s="4" t="s">
        <v>20</v>
      </c>
      <c r="B21" s="3" t="s">
        <v>21</v>
      </c>
    </row>
    <row r="22" customFormat="false" ht="15" hidden="false" customHeight="false" outlineLevel="0" collapsed="false">
      <c r="A22" s="4" t="s">
        <v>22</v>
      </c>
      <c r="B22" s="6" t="str">
        <f aca="false">COUNTA(코딩!F4:F183)&amp;" / 180 건 완료"</f>
        <v>0 / 180 건 완료</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58"/>
    <col collapsed="false" customWidth="true" hidden="false" outlineLevel="0" max="5" min="4" style="0" width="50"/>
    <col collapsed="false" customWidth="true" hidden="false" outlineLevel="0" max="6" min="6" style="0" width="10"/>
    <col collapsed="false" customWidth="true" hidden="false" outlineLevel="0" max="8" min="7" style="0" width="11"/>
    <col collapsed="false" customWidth="true" hidden="false" outlineLevel="0" max="10" min="9" style="0" width="10"/>
    <col collapsed="false" customWidth="true" hidden="false" outlineLevel="0" max="11" min="11" style="0" width="28"/>
    <col collapsed="false" customWidth="true" hidden="false" outlineLevel="0" max="12" min="12" style="0" width="8"/>
    <col collapsed="false" customWidth="true" hidden="false" outlineLevel="0" max="13" min="13" style="0" width="26"/>
  </cols>
  <sheetData>
    <row r="1" customFormat="false" ht="15" hidden="false" customHeight="false" outlineLevel="0" collapsed="false">
      <c r="A1" s="7" t="s">
        <v>23</v>
      </c>
    </row>
    <row r="2" customFormat="false" ht="27.75" hidden="false" customHeight="true" outlineLevel="0" collapsed="false">
      <c r="A2" s="8" t="s">
        <v>24</v>
      </c>
      <c r="B2" s="9" t="s">
        <v>25</v>
      </c>
      <c r="C2" s="9" t="s">
        <v>26</v>
      </c>
      <c r="D2" s="9" t="s">
        <v>27</v>
      </c>
      <c r="E2" s="9" t="s">
        <v>28</v>
      </c>
      <c r="F2" s="8" t="s">
        <v>29</v>
      </c>
      <c r="G2" s="8" t="s">
        <v>30</v>
      </c>
      <c r="H2" s="8" t="s">
        <v>31</v>
      </c>
      <c r="I2" s="8" t="s">
        <v>32</v>
      </c>
      <c r="J2" s="8" t="s">
        <v>33</v>
      </c>
      <c r="K2" s="9" t="s">
        <v>34</v>
      </c>
      <c r="L2" s="9" t="s">
        <v>35</v>
      </c>
      <c r="M2" s="9" t="s">
        <v>36</v>
      </c>
    </row>
    <row r="3" customFormat="false" ht="42" hidden="false" customHeight="true" outlineLevel="0" collapsed="false">
      <c r="A3" s="10" t="s">
        <v>37</v>
      </c>
      <c r="B3" s="11" t="s">
        <v>38</v>
      </c>
      <c r="C3" s="11" t="s">
        <v>39</v>
      </c>
      <c r="D3" s="11" t="s">
        <v>40</v>
      </c>
      <c r="E3" s="10"/>
      <c r="F3" s="10" t="s">
        <v>41</v>
      </c>
      <c r="G3" s="11" t="s">
        <v>42</v>
      </c>
      <c r="H3" s="11" t="s">
        <v>43</v>
      </c>
      <c r="I3" s="10" t="s">
        <v>44</v>
      </c>
      <c r="J3" s="11" t="s">
        <v>45</v>
      </c>
      <c r="K3" s="10" t="str">
        <f aca="false">IFERROR(INDEX(코드집!$B:$B,MATCH($J3,코드집!$A:$A,0)),"")</f>
        <v>EXHIBIT FORCE POSTURE</v>
      </c>
      <c r="L3" s="10" t="s">
        <v>46</v>
      </c>
      <c r="M3" s="11" t="s">
        <v>47</v>
      </c>
    </row>
    <row r="4" customFormat="false" ht="45.75" hidden="false" customHeight="true" outlineLevel="0" collapsed="false">
      <c r="A4" s="12" t="n">
        <v>1</v>
      </c>
      <c r="B4" s="12" t="s">
        <v>48</v>
      </c>
      <c r="C4" s="12" t="s">
        <v>49</v>
      </c>
      <c r="D4" s="12" t="s">
        <v>50</v>
      </c>
      <c r="E4" s="12" t="s">
        <v>51</v>
      </c>
      <c r="F4" s="13"/>
      <c r="G4" s="13"/>
      <c r="H4" s="13"/>
      <c r="I4" s="13"/>
      <c r="J4" s="13"/>
      <c r="K4" s="14" t="str">
        <f aca="false">IFERROR(INDEX(코드집!$B:$B,MATCH($J4,코드집!$A:$A,0)),"")</f>
        <v/>
      </c>
      <c r="L4" s="15"/>
      <c r="M4" s="15"/>
    </row>
    <row r="5" customFormat="false" ht="45.75" hidden="false" customHeight="true" outlineLevel="0" collapsed="false">
      <c r="A5" s="12" t="n">
        <v>2</v>
      </c>
      <c r="B5" s="12" t="s">
        <v>52</v>
      </c>
      <c r="C5" s="12" t="s">
        <v>53</v>
      </c>
      <c r="D5" s="12" t="s">
        <v>54</v>
      </c>
      <c r="E5" s="12" t="s">
        <v>54</v>
      </c>
      <c r="F5" s="13"/>
      <c r="G5" s="13"/>
      <c r="H5" s="13"/>
      <c r="I5" s="13"/>
      <c r="J5" s="13"/>
      <c r="K5" s="14" t="str">
        <f aca="false">IFERROR(INDEX(코드집!$B:$B,MATCH($J5,코드집!$A:$A,0)),"")</f>
        <v/>
      </c>
      <c r="L5" s="15"/>
      <c r="M5" s="15"/>
    </row>
    <row r="6" customFormat="false" ht="45.75" hidden="false" customHeight="true" outlineLevel="0" collapsed="false">
      <c r="A6" s="12" t="n">
        <v>3</v>
      </c>
      <c r="B6" s="12" t="s">
        <v>55</v>
      </c>
      <c r="C6" s="12" t="s">
        <v>56</v>
      </c>
      <c r="D6" s="12" t="s">
        <v>57</v>
      </c>
      <c r="E6" s="12"/>
      <c r="F6" s="13"/>
      <c r="G6" s="13"/>
      <c r="H6" s="13"/>
      <c r="I6" s="13"/>
      <c r="J6" s="13"/>
      <c r="K6" s="14" t="str">
        <f aca="false">IFERROR(INDEX(코드집!$B:$B,MATCH($J6,코드집!$A:$A,0)),"")</f>
        <v/>
      </c>
      <c r="L6" s="15"/>
      <c r="M6" s="15"/>
    </row>
    <row r="7" customFormat="false" ht="45.75" hidden="false" customHeight="true" outlineLevel="0" collapsed="false">
      <c r="A7" s="12" t="n">
        <v>4</v>
      </c>
      <c r="B7" s="12" t="s">
        <v>58</v>
      </c>
      <c r="C7" s="12" t="s">
        <v>59</v>
      </c>
      <c r="D7" s="12"/>
      <c r="E7" s="12"/>
      <c r="F7" s="13"/>
      <c r="G7" s="13"/>
      <c r="H7" s="13"/>
      <c r="I7" s="13"/>
      <c r="J7" s="13"/>
      <c r="K7" s="14" t="str">
        <f aca="false">IFERROR(INDEX(코드집!$B:$B,MATCH($J7,코드집!$A:$A,0)),"")</f>
        <v/>
      </c>
      <c r="L7" s="15"/>
      <c r="M7" s="15"/>
    </row>
    <row r="8" customFormat="false" ht="45.75" hidden="false" customHeight="true" outlineLevel="0" collapsed="false">
      <c r="A8" s="12" t="n">
        <v>5</v>
      </c>
      <c r="B8" s="12" t="s">
        <v>60</v>
      </c>
      <c r="C8" s="12" t="s">
        <v>61</v>
      </c>
      <c r="D8" s="16" t="s">
        <v>62</v>
      </c>
      <c r="E8" s="12" t="s">
        <v>63</v>
      </c>
      <c r="F8" s="13"/>
      <c r="G8" s="13"/>
      <c r="H8" s="13"/>
      <c r="I8" s="13"/>
      <c r="J8" s="13"/>
      <c r="K8" s="14" t="str">
        <f aca="false">IFERROR(INDEX(코드집!$B:$B,MATCH($J8,코드집!$A:$A,0)),"")</f>
        <v/>
      </c>
      <c r="L8" s="15"/>
      <c r="M8" s="15"/>
    </row>
    <row r="9" customFormat="false" ht="45.75" hidden="false" customHeight="true" outlineLevel="0" collapsed="false">
      <c r="A9" s="12" t="n">
        <v>6</v>
      </c>
      <c r="B9" s="12" t="s">
        <v>64</v>
      </c>
      <c r="C9" s="12" t="s">
        <v>65</v>
      </c>
      <c r="D9" s="12" t="s">
        <v>66</v>
      </c>
      <c r="E9" s="12" t="s">
        <v>67</v>
      </c>
      <c r="F9" s="13"/>
      <c r="G9" s="13"/>
      <c r="H9" s="13"/>
      <c r="I9" s="13"/>
      <c r="J9" s="13"/>
      <c r="K9" s="14" t="str">
        <f aca="false">IFERROR(INDEX(코드집!$B:$B,MATCH($J9,코드집!$A:$A,0)),"")</f>
        <v/>
      </c>
      <c r="L9" s="15"/>
      <c r="M9" s="15"/>
    </row>
    <row r="10" customFormat="false" ht="45.75" hidden="false" customHeight="true" outlineLevel="0" collapsed="false">
      <c r="A10" s="12" t="n">
        <v>7</v>
      </c>
      <c r="B10" s="12" t="s">
        <v>68</v>
      </c>
      <c r="C10" s="12" t="s">
        <v>69</v>
      </c>
      <c r="D10" s="12" t="s">
        <v>70</v>
      </c>
      <c r="E10" s="12" t="s">
        <v>71</v>
      </c>
      <c r="F10" s="13"/>
      <c r="G10" s="13"/>
      <c r="H10" s="13"/>
      <c r="I10" s="13"/>
      <c r="J10" s="13"/>
      <c r="K10" s="14" t="str">
        <f aca="false">IFERROR(INDEX(코드집!$B:$B,MATCH($J10,코드집!$A:$A,0)),"")</f>
        <v/>
      </c>
      <c r="L10" s="15"/>
      <c r="M10" s="15"/>
    </row>
    <row r="11" customFormat="false" ht="45.75" hidden="false" customHeight="true" outlineLevel="0" collapsed="false">
      <c r="A11" s="12" t="n">
        <v>8</v>
      </c>
      <c r="B11" s="12" t="s">
        <v>64</v>
      </c>
      <c r="C11" s="12" t="s">
        <v>72</v>
      </c>
      <c r="D11" s="12" t="s">
        <v>73</v>
      </c>
      <c r="E11" s="12" t="s">
        <v>74</v>
      </c>
      <c r="F11" s="13"/>
      <c r="G11" s="13"/>
      <c r="H11" s="13"/>
      <c r="I11" s="13"/>
      <c r="J11" s="13"/>
      <c r="K11" s="14" t="str">
        <f aca="false">IFERROR(INDEX(코드집!$B:$B,MATCH($J11,코드집!$A:$A,0)),"")</f>
        <v/>
      </c>
      <c r="L11" s="15"/>
      <c r="M11" s="15"/>
    </row>
    <row r="12" customFormat="false" ht="45.75" hidden="false" customHeight="true" outlineLevel="0" collapsed="false">
      <c r="A12" s="12" t="n">
        <v>9</v>
      </c>
      <c r="B12" s="12" t="s">
        <v>52</v>
      </c>
      <c r="C12" s="12" t="s">
        <v>75</v>
      </c>
      <c r="D12" s="12" t="s">
        <v>76</v>
      </c>
      <c r="E12" s="12" t="s">
        <v>77</v>
      </c>
      <c r="F12" s="13"/>
      <c r="G12" s="13"/>
      <c r="H12" s="13"/>
      <c r="I12" s="13"/>
      <c r="J12" s="13"/>
      <c r="K12" s="14" t="str">
        <f aca="false">IFERROR(INDEX(코드집!$B:$B,MATCH($J12,코드집!$A:$A,0)),"")</f>
        <v/>
      </c>
      <c r="L12" s="15"/>
      <c r="M12" s="15"/>
    </row>
    <row r="13" customFormat="false" ht="45.75" hidden="false" customHeight="true" outlineLevel="0" collapsed="false">
      <c r="A13" s="12" t="n">
        <v>10</v>
      </c>
      <c r="B13" s="12" t="s">
        <v>78</v>
      </c>
      <c r="C13" s="12" t="s">
        <v>79</v>
      </c>
      <c r="D13" s="12" t="s">
        <v>80</v>
      </c>
      <c r="E13" s="12" t="s">
        <v>81</v>
      </c>
      <c r="F13" s="13"/>
      <c r="G13" s="13"/>
      <c r="H13" s="13"/>
      <c r="I13" s="13"/>
      <c r="J13" s="13"/>
      <c r="K13" s="14" t="str">
        <f aca="false">IFERROR(INDEX(코드집!$B:$B,MATCH($J13,코드집!$A:$A,0)),"")</f>
        <v/>
      </c>
      <c r="L13" s="15"/>
      <c r="M13" s="15"/>
    </row>
    <row r="14" customFormat="false" ht="45.75" hidden="false" customHeight="true" outlineLevel="0" collapsed="false">
      <c r="A14" s="12" t="n">
        <v>11</v>
      </c>
      <c r="B14" s="12" t="s">
        <v>82</v>
      </c>
      <c r="C14" s="12" t="s">
        <v>83</v>
      </c>
      <c r="D14" s="12" t="s">
        <v>84</v>
      </c>
      <c r="E14" s="12" t="s">
        <v>85</v>
      </c>
      <c r="F14" s="13"/>
      <c r="G14" s="13"/>
      <c r="H14" s="13"/>
      <c r="I14" s="13"/>
      <c r="J14" s="13"/>
      <c r="K14" s="14" t="str">
        <f aca="false">IFERROR(INDEX(코드집!$B:$B,MATCH($J14,코드집!$A:$A,0)),"")</f>
        <v/>
      </c>
      <c r="L14" s="15"/>
      <c r="M14" s="15"/>
    </row>
    <row r="15" customFormat="false" ht="45.75" hidden="false" customHeight="true" outlineLevel="0" collapsed="false">
      <c r="A15" s="12" t="n">
        <v>12</v>
      </c>
      <c r="B15" s="12" t="s">
        <v>68</v>
      </c>
      <c r="C15" s="12" t="s">
        <v>86</v>
      </c>
      <c r="D15" s="12"/>
      <c r="E15" s="12"/>
      <c r="F15" s="13"/>
      <c r="G15" s="13"/>
      <c r="H15" s="13"/>
      <c r="I15" s="13"/>
      <c r="J15" s="13"/>
      <c r="K15" s="14" t="str">
        <f aca="false">IFERROR(INDEX(코드집!$B:$B,MATCH($J15,코드집!$A:$A,0)),"")</f>
        <v/>
      </c>
      <c r="L15" s="15"/>
      <c r="M15" s="15"/>
    </row>
    <row r="16" customFormat="false" ht="45.75" hidden="false" customHeight="true" outlineLevel="0" collapsed="false">
      <c r="A16" s="12" t="n">
        <v>13</v>
      </c>
      <c r="B16" s="12" t="s">
        <v>87</v>
      </c>
      <c r="C16" s="12" t="s">
        <v>88</v>
      </c>
      <c r="D16" s="12" t="s">
        <v>89</v>
      </c>
      <c r="E16" s="12" t="s">
        <v>90</v>
      </c>
      <c r="F16" s="13"/>
      <c r="G16" s="13"/>
      <c r="H16" s="13"/>
      <c r="I16" s="13"/>
      <c r="J16" s="13"/>
      <c r="K16" s="14" t="str">
        <f aca="false">IFERROR(INDEX(코드집!$B:$B,MATCH($J16,코드집!$A:$A,0)),"")</f>
        <v/>
      </c>
      <c r="L16" s="15"/>
      <c r="M16" s="15"/>
    </row>
    <row r="17" customFormat="false" ht="45.75" hidden="false" customHeight="true" outlineLevel="0" collapsed="false">
      <c r="A17" s="12" t="n">
        <v>14</v>
      </c>
      <c r="B17" s="12" t="s">
        <v>91</v>
      </c>
      <c r="C17" s="12" t="s">
        <v>92</v>
      </c>
      <c r="D17" s="12" t="s">
        <v>93</v>
      </c>
      <c r="E17" s="16" t="s">
        <v>94</v>
      </c>
      <c r="F17" s="13"/>
      <c r="G17" s="13"/>
      <c r="H17" s="13"/>
      <c r="I17" s="13"/>
      <c r="J17" s="13"/>
      <c r="K17" s="14" t="str">
        <f aca="false">IFERROR(INDEX(코드집!$B:$B,MATCH($J17,코드집!$A:$A,0)),"")</f>
        <v/>
      </c>
      <c r="L17" s="15"/>
      <c r="M17" s="15"/>
    </row>
    <row r="18" customFormat="false" ht="45.75" hidden="false" customHeight="true" outlineLevel="0" collapsed="false">
      <c r="A18" s="12" t="n">
        <v>15</v>
      </c>
      <c r="B18" s="12" t="s">
        <v>78</v>
      </c>
      <c r="C18" s="12" t="s">
        <v>95</v>
      </c>
      <c r="D18" s="12" t="s">
        <v>96</v>
      </c>
      <c r="E18" s="12" t="s">
        <v>97</v>
      </c>
      <c r="F18" s="13"/>
      <c r="G18" s="13"/>
      <c r="H18" s="13"/>
      <c r="I18" s="13"/>
      <c r="J18" s="13"/>
      <c r="K18" s="14" t="str">
        <f aca="false">IFERROR(INDEX(코드집!$B:$B,MATCH($J18,코드집!$A:$A,0)),"")</f>
        <v/>
      </c>
      <c r="L18" s="15"/>
      <c r="M18" s="15"/>
    </row>
    <row r="19" customFormat="false" ht="45.75" hidden="false" customHeight="true" outlineLevel="0" collapsed="false">
      <c r="A19" s="12" t="n">
        <v>16</v>
      </c>
      <c r="B19" s="12" t="s">
        <v>98</v>
      </c>
      <c r="C19" s="12" t="s">
        <v>99</v>
      </c>
      <c r="D19" s="12" t="s">
        <v>100</v>
      </c>
      <c r="E19" s="12" t="s">
        <v>101</v>
      </c>
      <c r="F19" s="13"/>
      <c r="G19" s="13"/>
      <c r="H19" s="13"/>
      <c r="I19" s="13"/>
      <c r="J19" s="13"/>
      <c r="K19" s="14" t="str">
        <f aca="false">IFERROR(INDEX(코드집!$B:$B,MATCH($J19,코드집!$A:$A,0)),"")</f>
        <v/>
      </c>
      <c r="L19" s="15"/>
      <c r="M19" s="15"/>
    </row>
    <row r="20" customFormat="false" ht="45.75" hidden="false" customHeight="true" outlineLevel="0" collapsed="false">
      <c r="A20" s="12" t="n">
        <v>17</v>
      </c>
      <c r="B20" s="12" t="s">
        <v>55</v>
      </c>
      <c r="C20" s="12" t="s">
        <v>102</v>
      </c>
      <c r="D20" s="12" t="s">
        <v>103</v>
      </c>
      <c r="E20" s="12" t="s">
        <v>104</v>
      </c>
      <c r="F20" s="13"/>
      <c r="G20" s="13"/>
      <c r="H20" s="13"/>
      <c r="I20" s="13"/>
      <c r="J20" s="13"/>
      <c r="K20" s="14" t="str">
        <f aca="false">IFERROR(INDEX(코드집!$B:$B,MATCH($J20,코드집!$A:$A,0)),"")</f>
        <v/>
      </c>
      <c r="L20" s="15"/>
      <c r="M20" s="15"/>
    </row>
    <row r="21" customFormat="false" ht="45.75" hidden="false" customHeight="true" outlineLevel="0" collapsed="false">
      <c r="A21" s="12" t="n">
        <v>18</v>
      </c>
      <c r="B21" s="12" t="s">
        <v>68</v>
      </c>
      <c r="C21" s="12" t="s">
        <v>105</v>
      </c>
      <c r="D21" s="12" t="s">
        <v>106</v>
      </c>
      <c r="E21" s="12" t="s">
        <v>107</v>
      </c>
      <c r="F21" s="13"/>
      <c r="G21" s="13"/>
      <c r="H21" s="13"/>
      <c r="I21" s="13"/>
      <c r="J21" s="13"/>
      <c r="K21" s="14" t="str">
        <f aca="false">IFERROR(INDEX(코드집!$B:$B,MATCH($J21,코드집!$A:$A,0)),"")</f>
        <v/>
      </c>
      <c r="L21" s="15"/>
      <c r="M21" s="15"/>
    </row>
    <row r="22" customFormat="false" ht="45.75" hidden="false" customHeight="true" outlineLevel="0" collapsed="false">
      <c r="A22" s="12" t="n">
        <v>19</v>
      </c>
      <c r="B22" s="12" t="s">
        <v>108</v>
      </c>
      <c r="C22" s="16" t="s">
        <v>109</v>
      </c>
      <c r="D22" s="12"/>
      <c r="E22" s="12"/>
      <c r="F22" s="13"/>
      <c r="G22" s="13"/>
      <c r="H22" s="13"/>
      <c r="I22" s="13"/>
      <c r="J22" s="13"/>
      <c r="K22" s="14" t="str">
        <f aca="false">IFERROR(INDEX(코드집!$B:$B,MATCH($J22,코드집!$A:$A,0)),"")</f>
        <v/>
      </c>
      <c r="L22" s="15"/>
      <c r="M22" s="15"/>
    </row>
    <row r="23" customFormat="false" ht="45.75" hidden="false" customHeight="true" outlineLevel="0" collapsed="false">
      <c r="A23" s="12" t="n">
        <v>20</v>
      </c>
      <c r="B23" s="12" t="s">
        <v>110</v>
      </c>
      <c r="C23" s="16" t="s">
        <v>111</v>
      </c>
      <c r="D23" s="16" t="s">
        <v>112</v>
      </c>
      <c r="E23" s="16" t="s">
        <v>113</v>
      </c>
      <c r="F23" s="13"/>
      <c r="G23" s="13"/>
      <c r="H23" s="13"/>
      <c r="I23" s="13"/>
      <c r="J23" s="13"/>
      <c r="K23" s="14" t="str">
        <f aca="false">IFERROR(INDEX(코드집!$B:$B,MATCH($J23,코드집!$A:$A,0)),"")</f>
        <v/>
      </c>
      <c r="L23" s="15"/>
      <c r="M23" s="15"/>
    </row>
    <row r="24" customFormat="false" ht="45.75" hidden="false" customHeight="true" outlineLevel="0" collapsed="false">
      <c r="A24" s="12" t="n">
        <v>21</v>
      </c>
      <c r="B24" s="12" t="s">
        <v>110</v>
      </c>
      <c r="C24" s="12" t="s">
        <v>114</v>
      </c>
      <c r="D24" s="12" t="s">
        <v>115</v>
      </c>
      <c r="E24" s="12" t="s">
        <v>116</v>
      </c>
      <c r="F24" s="13"/>
      <c r="G24" s="13"/>
      <c r="H24" s="13"/>
      <c r="I24" s="13"/>
      <c r="J24" s="13"/>
      <c r="K24" s="14" t="str">
        <f aca="false">IFERROR(INDEX(코드집!$B:$B,MATCH($J24,코드집!$A:$A,0)),"")</f>
        <v/>
      </c>
      <c r="L24" s="15"/>
      <c r="M24" s="15"/>
    </row>
    <row r="25" customFormat="false" ht="45.75" hidden="false" customHeight="true" outlineLevel="0" collapsed="false">
      <c r="A25" s="12" t="n">
        <v>22</v>
      </c>
      <c r="B25" s="12" t="s">
        <v>52</v>
      </c>
      <c r="C25" s="12" t="s">
        <v>117</v>
      </c>
      <c r="D25" s="12" t="s">
        <v>118</v>
      </c>
      <c r="E25" s="12" t="s">
        <v>119</v>
      </c>
      <c r="F25" s="13"/>
      <c r="G25" s="13"/>
      <c r="H25" s="13"/>
      <c r="I25" s="13"/>
      <c r="J25" s="13"/>
      <c r="K25" s="14" t="str">
        <f aca="false">IFERROR(INDEX(코드집!$B:$B,MATCH($J25,코드집!$A:$A,0)),"")</f>
        <v/>
      </c>
      <c r="L25" s="15"/>
      <c r="M25" s="15"/>
    </row>
    <row r="26" customFormat="false" ht="45.75" hidden="false" customHeight="true" outlineLevel="0" collapsed="false">
      <c r="A26" s="12" t="n">
        <v>23</v>
      </c>
      <c r="B26" s="12" t="s">
        <v>120</v>
      </c>
      <c r="C26" s="12" t="s">
        <v>121</v>
      </c>
      <c r="D26" s="16" t="s">
        <v>122</v>
      </c>
      <c r="E26" s="16" t="s">
        <v>123</v>
      </c>
      <c r="F26" s="13"/>
      <c r="G26" s="13"/>
      <c r="H26" s="13"/>
      <c r="I26" s="13"/>
      <c r="J26" s="13"/>
      <c r="K26" s="14" t="str">
        <f aca="false">IFERROR(INDEX(코드집!$B:$B,MATCH($J26,코드집!$A:$A,0)),"")</f>
        <v/>
      </c>
      <c r="L26" s="15"/>
      <c r="M26" s="15"/>
    </row>
    <row r="27" customFormat="false" ht="45.75" hidden="false" customHeight="true" outlineLevel="0" collapsed="false">
      <c r="A27" s="12" t="n">
        <v>24</v>
      </c>
      <c r="B27" s="12" t="s">
        <v>78</v>
      </c>
      <c r="C27" s="12" t="s">
        <v>124</v>
      </c>
      <c r="D27" s="12" t="s">
        <v>125</v>
      </c>
      <c r="E27" s="12" t="s">
        <v>126</v>
      </c>
      <c r="F27" s="13"/>
      <c r="G27" s="13"/>
      <c r="H27" s="13"/>
      <c r="I27" s="13"/>
      <c r="J27" s="13"/>
      <c r="K27" s="14" t="str">
        <f aca="false">IFERROR(INDEX(코드집!$B:$B,MATCH($J27,코드집!$A:$A,0)),"")</f>
        <v/>
      </c>
      <c r="L27" s="15"/>
      <c r="M27" s="15"/>
    </row>
    <row r="28" customFormat="false" ht="45.75" hidden="false" customHeight="true" outlineLevel="0" collapsed="false">
      <c r="A28" s="12" t="n">
        <v>25</v>
      </c>
      <c r="B28" s="12" t="s">
        <v>64</v>
      </c>
      <c r="C28" s="12" t="s">
        <v>127</v>
      </c>
      <c r="D28" s="12" t="s">
        <v>128</v>
      </c>
      <c r="E28" s="12" t="s">
        <v>129</v>
      </c>
      <c r="F28" s="13"/>
      <c r="G28" s="13"/>
      <c r="H28" s="13"/>
      <c r="I28" s="13"/>
      <c r="J28" s="13"/>
      <c r="K28" s="14" t="str">
        <f aca="false">IFERROR(INDEX(코드집!$B:$B,MATCH($J28,코드집!$A:$A,0)),"")</f>
        <v/>
      </c>
      <c r="L28" s="15"/>
      <c r="M28" s="15"/>
    </row>
    <row r="29" customFormat="false" ht="45.75" hidden="false" customHeight="true" outlineLevel="0" collapsed="false">
      <c r="A29" s="12" t="n">
        <v>26</v>
      </c>
      <c r="B29" s="12" t="s">
        <v>130</v>
      </c>
      <c r="C29" s="12" t="s">
        <v>131</v>
      </c>
      <c r="D29" s="12" t="s">
        <v>132</v>
      </c>
      <c r="E29" s="12" t="s">
        <v>133</v>
      </c>
      <c r="F29" s="13"/>
      <c r="G29" s="13"/>
      <c r="H29" s="13"/>
      <c r="I29" s="13"/>
      <c r="J29" s="13"/>
      <c r="K29" s="14" t="str">
        <f aca="false">IFERROR(INDEX(코드집!$B:$B,MATCH($J29,코드집!$A:$A,0)),"")</f>
        <v/>
      </c>
      <c r="L29" s="15"/>
      <c r="M29" s="15"/>
    </row>
    <row r="30" customFormat="false" ht="45.75" hidden="false" customHeight="true" outlineLevel="0" collapsed="false">
      <c r="A30" s="12" t="n">
        <v>27</v>
      </c>
      <c r="B30" s="12" t="s">
        <v>134</v>
      </c>
      <c r="C30" s="16" t="s">
        <v>135</v>
      </c>
      <c r="D30" s="16" t="s">
        <v>136</v>
      </c>
      <c r="E30" s="12"/>
      <c r="F30" s="13"/>
      <c r="G30" s="13"/>
      <c r="H30" s="13"/>
      <c r="I30" s="13"/>
      <c r="J30" s="13"/>
      <c r="K30" s="14" t="str">
        <f aca="false">IFERROR(INDEX(코드집!$B:$B,MATCH($J30,코드집!$A:$A,0)),"")</f>
        <v/>
      </c>
      <c r="L30" s="15"/>
      <c r="M30" s="15"/>
    </row>
    <row r="31" customFormat="false" ht="45.75" hidden="false" customHeight="true" outlineLevel="0" collapsed="false">
      <c r="A31" s="12" t="n">
        <v>28</v>
      </c>
      <c r="B31" s="12" t="s">
        <v>78</v>
      </c>
      <c r="C31" s="12" t="s">
        <v>137</v>
      </c>
      <c r="D31" s="12"/>
      <c r="E31" s="12"/>
      <c r="F31" s="13"/>
      <c r="G31" s="13"/>
      <c r="H31" s="13"/>
      <c r="I31" s="13"/>
      <c r="J31" s="13"/>
      <c r="K31" s="14" t="str">
        <f aca="false">IFERROR(INDEX(코드집!$B:$B,MATCH($J31,코드집!$A:$A,0)),"")</f>
        <v/>
      </c>
      <c r="L31" s="15"/>
      <c r="M31" s="15"/>
    </row>
    <row r="32" customFormat="false" ht="45.75" hidden="false" customHeight="true" outlineLevel="0" collapsed="false">
      <c r="A32" s="12" t="n">
        <v>29</v>
      </c>
      <c r="B32" s="12" t="s">
        <v>64</v>
      </c>
      <c r="C32" s="12" t="s">
        <v>138</v>
      </c>
      <c r="D32" s="12" t="s">
        <v>139</v>
      </c>
      <c r="E32" s="12" t="s">
        <v>140</v>
      </c>
      <c r="F32" s="13"/>
      <c r="G32" s="13"/>
      <c r="H32" s="13"/>
      <c r="I32" s="13"/>
      <c r="J32" s="13"/>
      <c r="K32" s="14" t="str">
        <f aca="false">IFERROR(INDEX(코드집!$B:$B,MATCH($J32,코드집!$A:$A,0)),"")</f>
        <v/>
      </c>
      <c r="L32" s="15"/>
      <c r="M32" s="15"/>
    </row>
    <row r="33" customFormat="false" ht="45.75" hidden="false" customHeight="true" outlineLevel="0" collapsed="false">
      <c r="A33" s="12" t="n">
        <v>30</v>
      </c>
      <c r="B33" s="12" t="s">
        <v>141</v>
      </c>
      <c r="C33" s="12" t="s">
        <v>142</v>
      </c>
      <c r="D33" s="12" t="s">
        <v>143</v>
      </c>
      <c r="E33" s="12" t="s">
        <v>144</v>
      </c>
      <c r="F33" s="13"/>
      <c r="G33" s="13"/>
      <c r="H33" s="13"/>
      <c r="I33" s="13"/>
      <c r="J33" s="13"/>
      <c r="K33" s="14" t="str">
        <f aca="false">IFERROR(INDEX(코드집!$B:$B,MATCH($J33,코드집!$A:$A,0)),"")</f>
        <v/>
      </c>
      <c r="L33" s="15"/>
      <c r="M33" s="15"/>
    </row>
    <row r="34" customFormat="false" ht="45.75" hidden="false" customHeight="true" outlineLevel="0" collapsed="false">
      <c r="A34" s="12" t="n">
        <v>31</v>
      </c>
      <c r="B34" s="12" t="s">
        <v>145</v>
      </c>
      <c r="C34" s="16" t="s">
        <v>146</v>
      </c>
      <c r="D34" s="16" t="s">
        <v>147</v>
      </c>
      <c r="E34" s="16" t="s">
        <v>148</v>
      </c>
      <c r="F34" s="13"/>
      <c r="G34" s="13"/>
      <c r="H34" s="13"/>
      <c r="I34" s="13"/>
      <c r="J34" s="13"/>
      <c r="K34" s="14" t="str">
        <f aca="false">IFERROR(INDEX(코드집!$B:$B,MATCH($J34,코드집!$A:$A,0)),"")</f>
        <v/>
      </c>
      <c r="L34" s="15"/>
      <c r="M34" s="15"/>
    </row>
    <row r="35" customFormat="false" ht="45.75" hidden="false" customHeight="true" outlineLevel="0" collapsed="false">
      <c r="A35" s="12" t="n">
        <v>32</v>
      </c>
      <c r="B35" s="12" t="s">
        <v>52</v>
      </c>
      <c r="C35" s="12" t="s">
        <v>149</v>
      </c>
      <c r="D35" s="12" t="s">
        <v>150</v>
      </c>
      <c r="E35" s="12" t="s">
        <v>151</v>
      </c>
      <c r="F35" s="13"/>
      <c r="G35" s="13"/>
      <c r="H35" s="13"/>
      <c r="I35" s="13"/>
      <c r="J35" s="13"/>
      <c r="K35" s="14" t="str">
        <f aca="false">IFERROR(INDEX(코드집!$B:$B,MATCH($J35,코드집!$A:$A,0)),"")</f>
        <v/>
      </c>
      <c r="L35" s="15"/>
      <c r="M35" s="15"/>
    </row>
    <row r="36" customFormat="false" ht="45.75" hidden="false" customHeight="true" outlineLevel="0" collapsed="false">
      <c r="A36" s="12" t="n">
        <v>33</v>
      </c>
      <c r="B36" s="12" t="s">
        <v>87</v>
      </c>
      <c r="C36" s="12" t="s">
        <v>152</v>
      </c>
      <c r="D36" s="12" t="s">
        <v>153</v>
      </c>
      <c r="E36" s="12" t="s">
        <v>154</v>
      </c>
      <c r="F36" s="13"/>
      <c r="G36" s="13"/>
      <c r="H36" s="13"/>
      <c r="I36" s="13"/>
      <c r="J36" s="13"/>
      <c r="K36" s="14" t="str">
        <f aca="false">IFERROR(INDEX(코드집!$B:$B,MATCH($J36,코드집!$A:$A,0)),"")</f>
        <v/>
      </c>
      <c r="L36" s="15"/>
      <c r="M36" s="15"/>
    </row>
    <row r="37" customFormat="false" ht="45.75" hidden="false" customHeight="true" outlineLevel="0" collapsed="false">
      <c r="A37" s="12" t="n">
        <v>34</v>
      </c>
      <c r="B37" s="12" t="s">
        <v>91</v>
      </c>
      <c r="C37" s="12" t="s">
        <v>155</v>
      </c>
      <c r="D37" s="12"/>
      <c r="E37" s="12"/>
      <c r="F37" s="13"/>
      <c r="G37" s="13"/>
      <c r="H37" s="13"/>
      <c r="I37" s="13"/>
      <c r="J37" s="13"/>
      <c r="K37" s="14" t="str">
        <f aca="false">IFERROR(INDEX(코드집!$B:$B,MATCH($J37,코드집!$A:$A,0)),"")</f>
        <v/>
      </c>
      <c r="L37" s="15"/>
      <c r="M37" s="15"/>
    </row>
    <row r="38" customFormat="false" ht="45.75" hidden="false" customHeight="true" outlineLevel="0" collapsed="false">
      <c r="A38" s="12" t="n">
        <v>35</v>
      </c>
      <c r="B38" s="12" t="s">
        <v>156</v>
      </c>
      <c r="C38" s="12" t="s">
        <v>157</v>
      </c>
      <c r="D38" s="12" t="s">
        <v>158</v>
      </c>
      <c r="E38" s="12" t="s">
        <v>159</v>
      </c>
      <c r="F38" s="13"/>
      <c r="G38" s="13"/>
      <c r="H38" s="13"/>
      <c r="I38" s="13"/>
      <c r="J38" s="13"/>
      <c r="K38" s="14" t="str">
        <f aca="false">IFERROR(INDEX(코드집!$B:$B,MATCH($J38,코드집!$A:$A,0)),"")</f>
        <v/>
      </c>
      <c r="L38" s="15"/>
      <c r="M38" s="15"/>
    </row>
    <row r="39" customFormat="false" ht="45.75" hidden="false" customHeight="true" outlineLevel="0" collapsed="false">
      <c r="A39" s="12" t="n">
        <v>36</v>
      </c>
      <c r="B39" s="12" t="s">
        <v>160</v>
      </c>
      <c r="C39" s="12" t="s">
        <v>161</v>
      </c>
      <c r="D39" s="12" t="s">
        <v>162</v>
      </c>
      <c r="E39" s="12" t="s">
        <v>163</v>
      </c>
      <c r="F39" s="13"/>
      <c r="G39" s="13"/>
      <c r="H39" s="13"/>
      <c r="I39" s="13"/>
      <c r="J39" s="13"/>
      <c r="K39" s="14" t="str">
        <f aca="false">IFERROR(INDEX(코드집!$B:$B,MATCH($J39,코드집!$A:$A,0)),"")</f>
        <v/>
      </c>
      <c r="L39" s="15"/>
      <c r="M39" s="15"/>
    </row>
    <row r="40" customFormat="false" ht="45.75" hidden="false" customHeight="true" outlineLevel="0" collapsed="false">
      <c r="A40" s="12" t="n">
        <v>37</v>
      </c>
      <c r="B40" s="12" t="s">
        <v>164</v>
      </c>
      <c r="C40" s="12" t="s">
        <v>165</v>
      </c>
      <c r="D40" s="12" t="s">
        <v>166</v>
      </c>
      <c r="E40" s="12" t="s">
        <v>167</v>
      </c>
      <c r="F40" s="13"/>
      <c r="G40" s="13"/>
      <c r="H40" s="13"/>
      <c r="I40" s="13"/>
      <c r="J40" s="13"/>
      <c r="K40" s="14" t="str">
        <f aca="false">IFERROR(INDEX(코드집!$B:$B,MATCH($J40,코드집!$A:$A,0)),"")</f>
        <v/>
      </c>
      <c r="L40" s="15"/>
      <c r="M40" s="15"/>
    </row>
    <row r="41" customFormat="false" ht="45.75" hidden="false" customHeight="true" outlineLevel="0" collapsed="false">
      <c r="A41" s="12" t="n">
        <v>38</v>
      </c>
      <c r="B41" s="12" t="s">
        <v>156</v>
      </c>
      <c r="C41" s="12" t="s">
        <v>168</v>
      </c>
      <c r="D41" s="12" t="s">
        <v>169</v>
      </c>
      <c r="E41" s="12" t="s">
        <v>169</v>
      </c>
      <c r="F41" s="13"/>
      <c r="G41" s="13"/>
      <c r="H41" s="13"/>
      <c r="I41" s="13"/>
      <c r="J41" s="13"/>
      <c r="K41" s="14" t="str">
        <f aca="false">IFERROR(INDEX(코드집!$B:$B,MATCH($J41,코드집!$A:$A,0)),"")</f>
        <v/>
      </c>
      <c r="L41" s="15"/>
      <c r="M41" s="15"/>
    </row>
    <row r="42" customFormat="false" ht="45.75" hidden="false" customHeight="true" outlineLevel="0" collapsed="false">
      <c r="A42" s="12" t="n">
        <v>39</v>
      </c>
      <c r="B42" s="12" t="s">
        <v>134</v>
      </c>
      <c r="C42" s="16" t="s">
        <v>170</v>
      </c>
      <c r="D42" s="12" t="s">
        <v>171</v>
      </c>
      <c r="E42" s="12" t="s">
        <v>172</v>
      </c>
      <c r="F42" s="13"/>
      <c r="G42" s="13"/>
      <c r="H42" s="13"/>
      <c r="I42" s="13"/>
      <c r="J42" s="13"/>
      <c r="K42" s="14" t="str">
        <f aca="false">IFERROR(INDEX(코드집!$B:$B,MATCH($J42,코드집!$A:$A,0)),"")</f>
        <v/>
      </c>
      <c r="L42" s="15"/>
      <c r="M42" s="15"/>
    </row>
    <row r="43" customFormat="false" ht="45.75" hidden="false" customHeight="true" outlineLevel="0" collapsed="false">
      <c r="A43" s="12" t="n">
        <v>40</v>
      </c>
      <c r="B43" s="12" t="s">
        <v>60</v>
      </c>
      <c r="C43" s="16" t="s">
        <v>173</v>
      </c>
      <c r="D43" s="12"/>
      <c r="E43" s="12"/>
      <c r="F43" s="13"/>
      <c r="G43" s="13"/>
      <c r="H43" s="13"/>
      <c r="I43" s="13"/>
      <c r="J43" s="13"/>
      <c r="K43" s="14" t="str">
        <f aca="false">IFERROR(INDEX(코드집!$B:$B,MATCH($J43,코드집!$A:$A,0)),"")</f>
        <v/>
      </c>
      <c r="L43" s="15"/>
      <c r="M43" s="15"/>
    </row>
    <row r="44" customFormat="false" ht="45.75" hidden="false" customHeight="true" outlineLevel="0" collapsed="false">
      <c r="A44" s="12" t="n">
        <v>41</v>
      </c>
      <c r="B44" s="12" t="s">
        <v>164</v>
      </c>
      <c r="C44" s="12" t="s">
        <v>174</v>
      </c>
      <c r="D44" s="12" t="s">
        <v>175</v>
      </c>
      <c r="E44" s="12" t="s">
        <v>176</v>
      </c>
      <c r="F44" s="13"/>
      <c r="G44" s="13"/>
      <c r="H44" s="13"/>
      <c r="I44" s="13"/>
      <c r="J44" s="13"/>
      <c r="K44" s="14" t="str">
        <f aca="false">IFERROR(INDEX(코드집!$B:$B,MATCH($J44,코드집!$A:$A,0)),"")</f>
        <v/>
      </c>
      <c r="L44" s="15"/>
      <c r="M44" s="15"/>
    </row>
    <row r="45" customFormat="false" ht="45.75" hidden="false" customHeight="true" outlineLevel="0" collapsed="false">
      <c r="A45" s="12" t="n">
        <v>42</v>
      </c>
      <c r="B45" s="12" t="s">
        <v>177</v>
      </c>
      <c r="C45" s="16" t="s">
        <v>178</v>
      </c>
      <c r="D45" s="16" t="s">
        <v>179</v>
      </c>
      <c r="E45" s="16" t="s">
        <v>180</v>
      </c>
      <c r="F45" s="13"/>
      <c r="G45" s="13"/>
      <c r="H45" s="13"/>
      <c r="I45" s="13"/>
      <c r="J45" s="13"/>
      <c r="K45" s="14" t="str">
        <f aca="false">IFERROR(INDEX(코드집!$B:$B,MATCH($J45,코드집!$A:$A,0)),"")</f>
        <v/>
      </c>
      <c r="L45" s="15"/>
      <c r="M45" s="15"/>
    </row>
    <row r="46" customFormat="false" ht="45.75" hidden="false" customHeight="true" outlineLevel="0" collapsed="false">
      <c r="A46" s="12" t="n">
        <v>43</v>
      </c>
      <c r="B46" s="12" t="s">
        <v>181</v>
      </c>
      <c r="C46" s="12" t="s">
        <v>182</v>
      </c>
      <c r="D46" s="12" t="s">
        <v>183</v>
      </c>
      <c r="E46" s="12" t="s">
        <v>184</v>
      </c>
      <c r="F46" s="13"/>
      <c r="G46" s="13"/>
      <c r="H46" s="13"/>
      <c r="I46" s="13"/>
      <c r="J46" s="13"/>
      <c r="K46" s="14" t="str">
        <f aca="false">IFERROR(INDEX(코드집!$B:$B,MATCH($J46,코드집!$A:$A,0)),"")</f>
        <v/>
      </c>
      <c r="L46" s="15"/>
      <c r="M46" s="15"/>
    </row>
    <row r="47" customFormat="false" ht="45.75" hidden="false" customHeight="true" outlineLevel="0" collapsed="false">
      <c r="A47" s="12" t="n">
        <v>44</v>
      </c>
      <c r="B47" s="12" t="s">
        <v>185</v>
      </c>
      <c r="C47" s="12" t="s">
        <v>186</v>
      </c>
      <c r="D47" s="12" t="s">
        <v>187</v>
      </c>
      <c r="E47" s="12" t="s">
        <v>188</v>
      </c>
      <c r="F47" s="13"/>
      <c r="G47" s="13"/>
      <c r="H47" s="13"/>
      <c r="I47" s="13"/>
      <c r="J47" s="13"/>
      <c r="K47" s="14" t="str">
        <f aca="false">IFERROR(INDEX(코드집!$B:$B,MATCH($J47,코드집!$A:$A,0)),"")</f>
        <v/>
      </c>
      <c r="L47" s="15"/>
      <c r="M47" s="15"/>
    </row>
    <row r="48" customFormat="false" ht="45.75" hidden="false" customHeight="true" outlineLevel="0" collapsed="false">
      <c r="A48" s="12" t="n">
        <v>45</v>
      </c>
      <c r="B48" s="12" t="s">
        <v>189</v>
      </c>
      <c r="C48" s="12" t="s">
        <v>190</v>
      </c>
      <c r="D48" s="12" t="s">
        <v>191</v>
      </c>
      <c r="E48" s="12"/>
      <c r="F48" s="13"/>
      <c r="G48" s="13"/>
      <c r="H48" s="13"/>
      <c r="I48" s="13"/>
      <c r="J48" s="13"/>
      <c r="K48" s="14" t="str">
        <f aca="false">IFERROR(INDEX(코드집!$B:$B,MATCH($J48,코드집!$A:$A,0)),"")</f>
        <v/>
      </c>
      <c r="L48" s="15"/>
      <c r="M48" s="15"/>
    </row>
    <row r="49" customFormat="false" ht="45.75" hidden="false" customHeight="true" outlineLevel="0" collapsed="false">
      <c r="A49" s="12" t="n">
        <v>46</v>
      </c>
      <c r="B49" s="12" t="s">
        <v>177</v>
      </c>
      <c r="C49" s="12" t="s">
        <v>192</v>
      </c>
      <c r="D49" s="12" t="s">
        <v>193</v>
      </c>
      <c r="E49" s="12"/>
      <c r="F49" s="13"/>
      <c r="G49" s="13"/>
      <c r="H49" s="13"/>
      <c r="I49" s="13"/>
      <c r="J49" s="13"/>
      <c r="K49" s="14" t="str">
        <f aca="false">IFERROR(INDEX(코드집!$B:$B,MATCH($J49,코드집!$A:$A,0)),"")</f>
        <v/>
      </c>
      <c r="L49" s="15"/>
      <c r="M49" s="15"/>
    </row>
    <row r="50" customFormat="false" ht="45.75" hidden="false" customHeight="true" outlineLevel="0" collapsed="false">
      <c r="A50" s="12" t="n">
        <v>47</v>
      </c>
      <c r="B50" s="12" t="s">
        <v>52</v>
      </c>
      <c r="C50" s="12" t="s">
        <v>194</v>
      </c>
      <c r="D50" s="12"/>
      <c r="E50" s="12"/>
      <c r="F50" s="13"/>
      <c r="G50" s="13"/>
      <c r="H50" s="13"/>
      <c r="I50" s="13"/>
      <c r="J50" s="13"/>
      <c r="K50" s="14" t="str">
        <f aca="false">IFERROR(INDEX(코드집!$B:$B,MATCH($J50,코드집!$A:$A,0)),"")</f>
        <v/>
      </c>
      <c r="L50" s="15"/>
      <c r="M50" s="15"/>
    </row>
    <row r="51" customFormat="false" ht="45.75" hidden="false" customHeight="true" outlineLevel="0" collapsed="false">
      <c r="A51" s="12" t="n">
        <v>48</v>
      </c>
      <c r="B51" s="12" t="s">
        <v>195</v>
      </c>
      <c r="C51" s="12" t="s">
        <v>196</v>
      </c>
      <c r="D51" s="12" t="s">
        <v>197</v>
      </c>
      <c r="E51" s="12" t="s">
        <v>198</v>
      </c>
      <c r="F51" s="13"/>
      <c r="G51" s="13"/>
      <c r="H51" s="13"/>
      <c r="I51" s="13"/>
      <c r="J51" s="13"/>
      <c r="K51" s="14" t="str">
        <f aca="false">IFERROR(INDEX(코드집!$B:$B,MATCH($J51,코드집!$A:$A,0)),"")</f>
        <v/>
      </c>
      <c r="L51" s="15"/>
      <c r="M51" s="15"/>
    </row>
    <row r="52" customFormat="false" ht="45.75" hidden="false" customHeight="true" outlineLevel="0" collapsed="false">
      <c r="A52" s="12" t="n">
        <v>49</v>
      </c>
      <c r="B52" s="12" t="s">
        <v>60</v>
      </c>
      <c r="C52" s="12" t="s">
        <v>199</v>
      </c>
      <c r="D52" s="12" t="s">
        <v>200</v>
      </c>
      <c r="E52" s="12" t="s">
        <v>201</v>
      </c>
      <c r="F52" s="13"/>
      <c r="G52" s="13"/>
      <c r="H52" s="13"/>
      <c r="I52" s="13"/>
      <c r="J52" s="13"/>
      <c r="K52" s="14" t="str">
        <f aca="false">IFERROR(INDEX(코드집!$B:$B,MATCH($J52,코드집!$A:$A,0)),"")</f>
        <v/>
      </c>
      <c r="L52" s="15"/>
      <c r="M52" s="15"/>
    </row>
    <row r="53" customFormat="false" ht="45.75" hidden="false" customHeight="true" outlineLevel="0" collapsed="false">
      <c r="A53" s="12" t="n">
        <v>50</v>
      </c>
      <c r="B53" s="12" t="s">
        <v>189</v>
      </c>
      <c r="C53" s="12" t="s">
        <v>202</v>
      </c>
      <c r="D53" s="12" t="s">
        <v>203</v>
      </c>
      <c r="E53" s="12" t="s">
        <v>204</v>
      </c>
      <c r="F53" s="13"/>
      <c r="G53" s="13"/>
      <c r="H53" s="13"/>
      <c r="I53" s="13"/>
      <c r="J53" s="13"/>
      <c r="K53" s="14" t="str">
        <f aca="false">IFERROR(INDEX(코드집!$B:$B,MATCH($J53,코드집!$A:$A,0)),"")</f>
        <v/>
      </c>
      <c r="L53" s="15"/>
      <c r="M53" s="15"/>
    </row>
    <row r="54" customFormat="false" ht="45.75" hidden="false" customHeight="true" outlineLevel="0" collapsed="false">
      <c r="A54" s="12" t="n">
        <v>51</v>
      </c>
      <c r="B54" s="12" t="s">
        <v>145</v>
      </c>
      <c r="C54" s="12" t="s">
        <v>205</v>
      </c>
      <c r="D54" s="12" t="s">
        <v>206</v>
      </c>
      <c r="E54" s="12" t="s">
        <v>207</v>
      </c>
      <c r="F54" s="13"/>
      <c r="G54" s="13"/>
      <c r="H54" s="13"/>
      <c r="I54" s="13"/>
      <c r="J54" s="13"/>
      <c r="K54" s="14" t="str">
        <f aca="false">IFERROR(INDEX(코드집!$B:$B,MATCH($J54,코드집!$A:$A,0)),"")</f>
        <v/>
      </c>
      <c r="L54" s="15"/>
      <c r="M54" s="15"/>
    </row>
    <row r="55" customFormat="false" ht="45.75" hidden="false" customHeight="true" outlineLevel="0" collapsed="false">
      <c r="A55" s="12" t="n">
        <v>52</v>
      </c>
      <c r="B55" s="12" t="s">
        <v>156</v>
      </c>
      <c r="C55" s="16" t="s">
        <v>208</v>
      </c>
      <c r="D55" s="16" t="s">
        <v>209</v>
      </c>
      <c r="E55" s="16" t="s">
        <v>210</v>
      </c>
      <c r="F55" s="13"/>
      <c r="G55" s="13"/>
      <c r="H55" s="13"/>
      <c r="I55" s="13"/>
      <c r="J55" s="13"/>
      <c r="K55" s="14" t="str">
        <f aca="false">IFERROR(INDEX(코드집!$B:$B,MATCH($J55,코드집!$A:$A,0)),"")</f>
        <v/>
      </c>
      <c r="L55" s="15"/>
      <c r="M55" s="15"/>
    </row>
    <row r="56" customFormat="false" ht="45.75" hidden="false" customHeight="true" outlineLevel="0" collapsed="false">
      <c r="A56" s="12" t="n">
        <v>53</v>
      </c>
      <c r="B56" s="12" t="s">
        <v>110</v>
      </c>
      <c r="C56" s="16" t="s">
        <v>211</v>
      </c>
      <c r="D56" s="16" t="s">
        <v>212</v>
      </c>
      <c r="E56" s="16" t="s">
        <v>213</v>
      </c>
      <c r="F56" s="13"/>
      <c r="G56" s="13"/>
      <c r="H56" s="13"/>
      <c r="I56" s="13"/>
      <c r="J56" s="13"/>
      <c r="K56" s="14" t="str">
        <f aca="false">IFERROR(INDEX(코드집!$B:$B,MATCH($J56,코드집!$A:$A,0)),"")</f>
        <v/>
      </c>
      <c r="L56" s="15"/>
      <c r="M56" s="15"/>
    </row>
    <row r="57" customFormat="false" ht="45.75" hidden="false" customHeight="true" outlineLevel="0" collapsed="false">
      <c r="A57" s="12" t="n">
        <v>54</v>
      </c>
      <c r="B57" s="12" t="s">
        <v>78</v>
      </c>
      <c r="C57" s="12" t="s">
        <v>214</v>
      </c>
      <c r="D57" s="12" t="s">
        <v>215</v>
      </c>
      <c r="E57" s="12" t="s">
        <v>216</v>
      </c>
      <c r="F57" s="13"/>
      <c r="G57" s="13"/>
      <c r="H57" s="13"/>
      <c r="I57" s="13"/>
      <c r="J57" s="13"/>
      <c r="K57" s="14" t="str">
        <f aca="false">IFERROR(INDEX(코드집!$B:$B,MATCH($J57,코드집!$A:$A,0)),"")</f>
        <v/>
      </c>
      <c r="L57" s="15"/>
      <c r="M57" s="15"/>
    </row>
    <row r="58" customFormat="false" ht="45.75" hidden="false" customHeight="true" outlineLevel="0" collapsed="false">
      <c r="A58" s="12" t="n">
        <v>55</v>
      </c>
      <c r="B58" s="12" t="s">
        <v>87</v>
      </c>
      <c r="C58" s="12" t="s">
        <v>217</v>
      </c>
      <c r="D58" s="12" t="s">
        <v>218</v>
      </c>
      <c r="E58" s="12" t="s">
        <v>219</v>
      </c>
      <c r="F58" s="13"/>
      <c r="G58" s="13"/>
      <c r="H58" s="13"/>
      <c r="I58" s="13"/>
      <c r="J58" s="13"/>
      <c r="K58" s="14" t="str">
        <f aca="false">IFERROR(INDEX(코드집!$B:$B,MATCH($J58,코드집!$A:$A,0)),"")</f>
        <v/>
      </c>
      <c r="L58" s="15"/>
      <c r="M58" s="15"/>
    </row>
    <row r="59" customFormat="false" ht="45.75" hidden="false" customHeight="true" outlineLevel="0" collapsed="false">
      <c r="A59" s="12" t="n">
        <v>56</v>
      </c>
      <c r="B59" s="12" t="s">
        <v>98</v>
      </c>
      <c r="C59" s="12" t="s">
        <v>220</v>
      </c>
      <c r="D59" s="12" t="s">
        <v>221</v>
      </c>
      <c r="E59" s="12" t="s">
        <v>222</v>
      </c>
      <c r="F59" s="13"/>
      <c r="G59" s="13"/>
      <c r="H59" s="13"/>
      <c r="I59" s="13"/>
      <c r="J59" s="13"/>
      <c r="K59" s="14" t="str">
        <f aca="false">IFERROR(INDEX(코드집!$B:$B,MATCH($J59,코드집!$A:$A,0)),"")</f>
        <v/>
      </c>
      <c r="L59" s="15"/>
      <c r="M59" s="15"/>
    </row>
    <row r="60" customFormat="false" ht="45.75" hidden="false" customHeight="true" outlineLevel="0" collapsed="false">
      <c r="A60" s="12" t="n">
        <v>57</v>
      </c>
      <c r="B60" s="12" t="s">
        <v>223</v>
      </c>
      <c r="C60" s="12" t="s">
        <v>224</v>
      </c>
      <c r="D60" s="12" t="s">
        <v>225</v>
      </c>
      <c r="E60" s="12" t="s">
        <v>226</v>
      </c>
      <c r="F60" s="13"/>
      <c r="G60" s="13"/>
      <c r="H60" s="13"/>
      <c r="I60" s="13"/>
      <c r="J60" s="13"/>
      <c r="K60" s="14" t="str">
        <f aca="false">IFERROR(INDEX(코드집!$B:$B,MATCH($J60,코드집!$A:$A,0)),"")</f>
        <v/>
      </c>
      <c r="L60" s="15"/>
      <c r="M60" s="15"/>
    </row>
    <row r="61" customFormat="false" ht="45.75" hidden="false" customHeight="true" outlineLevel="0" collapsed="false">
      <c r="A61" s="12" t="n">
        <v>58</v>
      </c>
      <c r="B61" s="12" t="s">
        <v>55</v>
      </c>
      <c r="C61" s="12" t="s">
        <v>227</v>
      </c>
      <c r="D61" s="12" t="s">
        <v>228</v>
      </c>
      <c r="E61" s="12" t="s">
        <v>229</v>
      </c>
      <c r="F61" s="13"/>
      <c r="G61" s="13"/>
      <c r="H61" s="13"/>
      <c r="I61" s="13"/>
      <c r="J61" s="13"/>
      <c r="K61" s="14" t="str">
        <f aca="false">IFERROR(INDEX(코드집!$B:$B,MATCH($J61,코드집!$A:$A,0)),"")</f>
        <v/>
      </c>
      <c r="L61" s="15"/>
      <c r="M61" s="15"/>
    </row>
    <row r="62" customFormat="false" ht="45.75" hidden="false" customHeight="true" outlineLevel="0" collapsed="false">
      <c r="A62" s="12" t="n">
        <v>59</v>
      </c>
      <c r="B62" s="12" t="s">
        <v>60</v>
      </c>
      <c r="C62" s="12" t="s">
        <v>230</v>
      </c>
      <c r="D62" s="12" t="s">
        <v>231</v>
      </c>
      <c r="E62" s="12" t="s">
        <v>232</v>
      </c>
      <c r="F62" s="13"/>
      <c r="G62" s="13"/>
      <c r="H62" s="13"/>
      <c r="I62" s="13"/>
      <c r="J62" s="13"/>
      <c r="K62" s="14" t="str">
        <f aca="false">IFERROR(INDEX(코드집!$B:$B,MATCH($J62,코드집!$A:$A,0)),"")</f>
        <v/>
      </c>
      <c r="L62" s="15"/>
      <c r="M62" s="15"/>
    </row>
    <row r="63" customFormat="false" ht="45.75" hidden="false" customHeight="true" outlineLevel="0" collapsed="false">
      <c r="A63" s="12" t="n">
        <v>60</v>
      </c>
      <c r="B63" s="12" t="s">
        <v>181</v>
      </c>
      <c r="C63" s="12" t="s">
        <v>233</v>
      </c>
      <c r="D63" s="12" t="s">
        <v>234</v>
      </c>
      <c r="E63" s="12" t="s">
        <v>235</v>
      </c>
      <c r="F63" s="13"/>
      <c r="G63" s="13"/>
      <c r="H63" s="13"/>
      <c r="I63" s="13"/>
      <c r="J63" s="13"/>
      <c r="K63" s="14" t="str">
        <f aca="false">IFERROR(INDEX(코드집!$B:$B,MATCH($J63,코드집!$A:$A,0)),"")</f>
        <v/>
      </c>
      <c r="L63" s="15"/>
      <c r="M63" s="15"/>
    </row>
    <row r="64" customFormat="false" ht="45.75" hidden="false" customHeight="true" outlineLevel="0" collapsed="false">
      <c r="A64" s="12" t="n">
        <v>61</v>
      </c>
      <c r="B64" s="12" t="s">
        <v>141</v>
      </c>
      <c r="C64" s="12" t="s">
        <v>236</v>
      </c>
      <c r="D64" s="12" t="s">
        <v>237</v>
      </c>
      <c r="E64" s="12" t="s">
        <v>238</v>
      </c>
      <c r="F64" s="13"/>
      <c r="G64" s="13"/>
      <c r="H64" s="13"/>
      <c r="I64" s="13"/>
      <c r="J64" s="13"/>
      <c r="K64" s="14" t="str">
        <f aca="false">IFERROR(INDEX(코드집!$B:$B,MATCH($J64,코드집!$A:$A,0)),"")</f>
        <v/>
      </c>
      <c r="L64" s="15"/>
      <c r="M64" s="15"/>
    </row>
    <row r="65" customFormat="false" ht="45.75" hidden="false" customHeight="true" outlineLevel="0" collapsed="false">
      <c r="A65" s="12" t="n">
        <v>62</v>
      </c>
      <c r="B65" s="12" t="s">
        <v>48</v>
      </c>
      <c r="C65" s="12" t="s">
        <v>239</v>
      </c>
      <c r="D65" s="12" t="s">
        <v>240</v>
      </c>
      <c r="E65" s="12" t="s">
        <v>241</v>
      </c>
      <c r="F65" s="13"/>
      <c r="G65" s="13"/>
      <c r="H65" s="13"/>
      <c r="I65" s="13"/>
      <c r="J65" s="13"/>
      <c r="K65" s="14" t="str">
        <f aca="false">IFERROR(INDEX(코드집!$B:$B,MATCH($J65,코드집!$A:$A,0)),"")</f>
        <v/>
      </c>
      <c r="L65" s="15"/>
      <c r="M65" s="15"/>
    </row>
    <row r="66" customFormat="false" ht="45.75" hidden="false" customHeight="true" outlineLevel="0" collapsed="false">
      <c r="A66" s="12" t="n">
        <v>63</v>
      </c>
      <c r="B66" s="12" t="s">
        <v>156</v>
      </c>
      <c r="C66" s="12" t="s">
        <v>242</v>
      </c>
      <c r="D66" s="12" t="s">
        <v>243</v>
      </c>
      <c r="E66" s="12" t="s">
        <v>244</v>
      </c>
      <c r="F66" s="13"/>
      <c r="G66" s="13"/>
      <c r="H66" s="13"/>
      <c r="I66" s="13"/>
      <c r="J66" s="13"/>
      <c r="K66" s="14" t="str">
        <f aca="false">IFERROR(INDEX(코드집!$B:$B,MATCH($J66,코드집!$A:$A,0)),"")</f>
        <v/>
      </c>
      <c r="L66" s="15"/>
      <c r="M66" s="15"/>
    </row>
    <row r="67" customFormat="false" ht="45.75" hidden="false" customHeight="true" outlineLevel="0" collapsed="false">
      <c r="A67" s="12" t="n">
        <v>64</v>
      </c>
      <c r="B67" s="12" t="s">
        <v>58</v>
      </c>
      <c r="C67" s="12" t="s">
        <v>245</v>
      </c>
      <c r="D67" s="12" t="s">
        <v>246</v>
      </c>
      <c r="E67" s="12" t="s">
        <v>247</v>
      </c>
      <c r="F67" s="13"/>
      <c r="G67" s="13"/>
      <c r="H67" s="13"/>
      <c r="I67" s="13"/>
      <c r="J67" s="13"/>
      <c r="K67" s="14" t="str">
        <f aca="false">IFERROR(INDEX(코드집!$B:$B,MATCH($J67,코드집!$A:$A,0)),"")</f>
        <v/>
      </c>
      <c r="L67" s="15"/>
      <c r="M67" s="15"/>
    </row>
    <row r="68" customFormat="false" ht="45.75" hidden="false" customHeight="true" outlineLevel="0" collapsed="false">
      <c r="A68" s="12" t="n">
        <v>65</v>
      </c>
      <c r="B68" s="12" t="s">
        <v>248</v>
      </c>
      <c r="C68" s="12" t="s">
        <v>249</v>
      </c>
      <c r="D68" s="12" t="s">
        <v>250</v>
      </c>
      <c r="E68" s="12" t="s">
        <v>251</v>
      </c>
      <c r="F68" s="13"/>
      <c r="G68" s="13"/>
      <c r="H68" s="13"/>
      <c r="I68" s="13"/>
      <c r="J68" s="13"/>
      <c r="K68" s="14" t="str">
        <f aca="false">IFERROR(INDEX(코드집!$B:$B,MATCH($J68,코드집!$A:$A,0)),"")</f>
        <v/>
      </c>
      <c r="L68" s="15"/>
      <c r="M68" s="15"/>
    </row>
    <row r="69" customFormat="false" ht="45.75" hidden="false" customHeight="true" outlineLevel="0" collapsed="false">
      <c r="A69" s="12" t="n">
        <v>66</v>
      </c>
      <c r="B69" s="12" t="s">
        <v>110</v>
      </c>
      <c r="C69" s="12" t="s">
        <v>252</v>
      </c>
      <c r="D69" s="12" t="s">
        <v>253</v>
      </c>
      <c r="E69" s="12" t="s">
        <v>254</v>
      </c>
      <c r="F69" s="13"/>
      <c r="G69" s="13"/>
      <c r="H69" s="13"/>
      <c r="I69" s="13"/>
      <c r="J69" s="13"/>
      <c r="K69" s="14" t="str">
        <f aca="false">IFERROR(INDEX(코드집!$B:$B,MATCH($J69,코드집!$A:$A,0)),"")</f>
        <v/>
      </c>
      <c r="L69" s="15"/>
      <c r="M69" s="15"/>
    </row>
    <row r="70" customFormat="false" ht="45.75" hidden="false" customHeight="true" outlineLevel="0" collapsed="false">
      <c r="A70" s="12" t="n">
        <v>67</v>
      </c>
      <c r="B70" s="12" t="s">
        <v>91</v>
      </c>
      <c r="C70" s="12" t="s">
        <v>255</v>
      </c>
      <c r="D70" s="12" t="s">
        <v>256</v>
      </c>
      <c r="E70" s="12" t="s">
        <v>257</v>
      </c>
      <c r="F70" s="13"/>
      <c r="G70" s="13"/>
      <c r="H70" s="13"/>
      <c r="I70" s="13"/>
      <c r="J70" s="13"/>
      <c r="K70" s="14" t="str">
        <f aca="false">IFERROR(INDEX(코드집!$B:$B,MATCH($J70,코드집!$A:$A,0)),"")</f>
        <v/>
      </c>
      <c r="L70" s="15"/>
      <c r="M70" s="15"/>
    </row>
    <row r="71" customFormat="false" ht="45.75" hidden="false" customHeight="true" outlineLevel="0" collapsed="false">
      <c r="A71" s="12" t="n">
        <v>68</v>
      </c>
      <c r="B71" s="12" t="s">
        <v>68</v>
      </c>
      <c r="C71" s="12" t="s">
        <v>258</v>
      </c>
      <c r="D71" s="12"/>
      <c r="E71" s="12"/>
      <c r="F71" s="13"/>
      <c r="G71" s="13"/>
      <c r="H71" s="13"/>
      <c r="I71" s="13"/>
      <c r="J71" s="13"/>
      <c r="K71" s="14" t="str">
        <f aca="false">IFERROR(INDEX(코드집!$B:$B,MATCH($J71,코드집!$A:$A,0)),"")</f>
        <v/>
      </c>
      <c r="L71" s="15"/>
      <c r="M71" s="15"/>
    </row>
    <row r="72" customFormat="false" ht="45.75" hidden="false" customHeight="true" outlineLevel="0" collapsed="false">
      <c r="A72" s="12" t="n">
        <v>69</v>
      </c>
      <c r="B72" s="12" t="s">
        <v>185</v>
      </c>
      <c r="C72" s="12" t="s">
        <v>259</v>
      </c>
      <c r="D72" s="12" t="s">
        <v>260</v>
      </c>
      <c r="E72" s="12" t="s">
        <v>261</v>
      </c>
      <c r="F72" s="13"/>
      <c r="G72" s="13"/>
      <c r="H72" s="13"/>
      <c r="I72" s="13"/>
      <c r="J72" s="13"/>
      <c r="K72" s="14" t="str">
        <f aca="false">IFERROR(INDEX(코드집!$B:$B,MATCH($J72,코드집!$A:$A,0)),"")</f>
        <v/>
      </c>
      <c r="L72" s="15"/>
      <c r="M72" s="15"/>
    </row>
    <row r="73" customFormat="false" ht="45.75" hidden="false" customHeight="true" outlineLevel="0" collapsed="false">
      <c r="A73" s="12" t="n">
        <v>70</v>
      </c>
      <c r="B73" s="12" t="s">
        <v>55</v>
      </c>
      <c r="C73" s="12" t="s">
        <v>262</v>
      </c>
      <c r="D73" s="12" t="s">
        <v>263</v>
      </c>
      <c r="E73" s="12" t="s">
        <v>264</v>
      </c>
      <c r="F73" s="13"/>
      <c r="G73" s="13"/>
      <c r="H73" s="13"/>
      <c r="I73" s="13"/>
      <c r="J73" s="13"/>
      <c r="K73" s="14" t="str">
        <f aca="false">IFERROR(INDEX(코드집!$B:$B,MATCH($J73,코드집!$A:$A,0)),"")</f>
        <v/>
      </c>
      <c r="L73" s="15"/>
      <c r="M73" s="15"/>
    </row>
    <row r="74" customFormat="false" ht="45.75" hidden="false" customHeight="true" outlineLevel="0" collapsed="false">
      <c r="A74" s="12" t="n">
        <v>71</v>
      </c>
      <c r="B74" s="12" t="s">
        <v>82</v>
      </c>
      <c r="C74" s="12" t="s">
        <v>265</v>
      </c>
      <c r="D74" s="12" t="s">
        <v>266</v>
      </c>
      <c r="E74" s="12" t="s">
        <v>267</v>
      </c>
      <c r="F74" s="13"/>
      <c r="G74" s="13"/>
      <c r="H74" s="13"/>
      <c r="I74" s="13"/>
      <c r="J74" s="13"/>
      <c r="K74" s="14" t="str">
        <f aca="false">IFERROR(INDEX(코드집!$B:$B,MATCH($J74,코드집!$A:$A,0)),"")</f>
        <v/>
      </c>
      <c r="L74" s="15"/>
      <c r="M74" s="15"/>
    </row>
    <row r="75" customFormat="false" ht="45.75" hidden="false" customHeight="true" outlineLevel="0" collapsed="false">
      <c r="A75" s="12" t="n">
        <v>72</v>
      </c>
      <c r="B75" s="12" t="s">
        <v>58</v>
      </c>
      <c r="C75" s="12" t="s">
        <v>268</v>
      </c>
      <c r="D75" s="12" t="s">
        <v>269</v>
      </c>
      <c r="E75" s="12" t="s">
        <v>270</v>
      </c>
      <c r="F75" s="13"/>
      <c r="G75" s="13"/>
      <c r="H75" s="13"/>
      <c r="I75" s="13"/>
      <c r="J75" s="13"/>
      <c r="K75" s="14" t="str">
        <f aca="false">IFERROR(INDEX(코드집!$B:$B,MATCH($J75,코드집!$A:$A,0)),"")</f>
        <v/>
      </c>
      <c r="L75" s="15"/>
      <c r="M75" s="15"/>
    </row>
    <row r="76" customFormat="false" ht="45.75" hidden="false" customHeight="true" outlineLevel="0" collapsed="false">
      <c r="A76" s="12" t="n">
        <v>73</v>
      </c>
      <c r="B76" s="12" t="s">
        <v>160</v>
      </c>
      <c r="C76" s="12" t="s">
        <v>271</v>
      </c>
      <c r="D76" s="12" t="s">
        <v>272</v>
      </c>
      <c r="E76" s="12" t="s">
        <v>273</v>
      </c>
      <c r="F76" s="13"/>
      <c r="G76" s="13"/>
      <c r="H76" s="13"/>
      <c r="I76" s="13"/>
      <c r="J76" s="13"/>
      <c r="K76" s="14" t="str">
        <f aca="false">IFERROR(INDEX(코드집!$B:$B,MATCH($J76,코드집!$A:$A,0)),"")</f>
        <v/>
      </c>
      <c r="L76" s="15"/>
      <c r="M76" s="15"/>
    </row>
    <row r="77" customFormat="false" ht="45.75" hidden="false" customHeight="true" outlineLevel="0" collapsed="false">
      <c r="A77" s="12" t="n">
        <v>74</v>
      </c>
      <c r="B77" s="12" t="s">
        <v>58</v>
      </c>
      <c r="C77" s="12" t="s">
        <v>274</v>
      </c>
      <c r="D77" s="12" t="s">
        <v>275</v>
      </c>
      <c r="E77" s="12" t="s">
        <v>276</v>
      </c>
      <c r="F77" s="13"/>
      <c r="G77" s="13"/>
      <c r="H77" s="13"/>
      <c r="I77" s="13"/>
      <c r="J77" s="13"/>
      <c r="K77" s="14" t="str">
        <f aca="false">IFERROR(INDEX(코드집!$B:$B,MATCH($J77,코드집!$A:$A,0)),"")</f>
        <v/>
      </c>
      <c r="L77" s="15"/>
      <c r="M77" s="15"/>
    </row>
    <row r="78" customFormat="false" ht="45.75" hidden="false" customHeight="true" outlineLevel="0" collapsed="false">
      <c r="A78" s="12" t="n">
        <v>75</v>
      </c>
      <c r="B78" s="12" t="s">
        <v>91</v>
      </c>
      <c r="C78" s="16" t="s">
        <v>277</v>
      </c>
      <c r="D78" s="12" t="s">
        <v>278</v>
      </c>
      <c r="E78" s="16" t="s">
        <v>279</v>
      </c>
      <c r="F78" s="13"/>
      <c r="G78" s="13"/>
      <c r="H78" s="13"/>
      <c r="I78" s="13"/>
      <c r="J78" s="13"/>
      <c r="K78" s="14" t="str">
        <f aca="false">IFERROR(INDEX(코드집!$B:$B,MATCH($J78,코드집!$A:$A,0)),"")</f>
        <v/>
      </c>
      <c r="L78" s="15"/>
      <c r="M78" s="15"/>
    </row>
    <row r="79" customFormat="false" ht="45.75" hidden="false" customHeight="true" outlineLevel="0" collapsed="false">
      <c r="A79" s="12" t="n">
        <v>76</v>
      </c>
      <c r="B79" s="12" t="s">
        <v>134</v>
      </c>
      <c r="C79" s="12" t="s">
        <v>280</v>
      </c>
      <c r="D79" s="12" t="s">
        <v>281</v>
      </c>
      <c r="E79" s="12" t="s">
        <v>282</v>
      </c>
      <c r="F79" s="13"/>
      <c r="G79" s="13"/>
      <c r="H79" s="13"/>
      <c r="I79" s="13"/>
      <c r="J79" s="13"/>
      <c r="K79" s="14" t="str">
        <f aca="false">IFERROR(INDEX(코드집!$B:$B,MATCH($J79,코드집!$A:$A,0)),"")</f>
        <v/>
      </c>
      <c r="L79" s="15"/>
      <c r="M79" s="15"/>
    </row>
    <row r="80" customFormat="false" ht="45.75" hidden="false" customHeight="true" outlineLevel="0" collapsed="false">
      <c r="A80" s="12" t="n">
        <v>77</v>
      </c>
      <c r="B80" s="12" t="s">
        <v>223</v>
      </c>
      <c r="C80" s="12" t="s">
        <v>283</v>
      </c>
      <c r="D80" s="12" t="s">
        <v>284</v>
      </c>
      <c r="E80" s="12" t="s">
        <v>285</v>
      </c>
      <c r="F80" s="13"/>
      <c r="G80" s="13"/>
      <c r="H80" s="13"/>
      <c r="I80" s="13"/>
      <c r="J80" s="13"/>
      <c r="K80" s="14" t="str">
        <f aca="false">IFERROR(INDEX(코드집!$B:$B,MATCH($J80,코드집!$A:$A,0)),"")</f>
        <v/>
      </c>
      <c r="L80" s="15"/>
      <c r="M80" s="15"/>
    </row>
    <row r="81" customFormat="false" ht="45.75" hidden="false" customHeight="true" outlineLevel="0" collapsed="false">
      <c r="A81" s="12" t="n">
        <v>78</v>
      </c>
      <c r="B81" s="12" t="s">
        <v>189</v>
      </c>
      <c r="C81" s="12" t="s">
        <v>286</v>
      </c>
      <c r="D81" s="12"/>
      <c r="E81" s="12"/>
      <c r="F81" s="13"/>
      <c r="G81" s="13"/>
      <c r="H81" s="13"/>
      <c r="I81" s="13"/>
      <c r="J81" s="13"/>
      <c r="K81" s="14" t="str">
        <f aca="false">IFERROR(INDEX(코드집!$B:$B,MATCH($J81,코드집!$A:$A,0)),"")</f>
        <v/>
      </c>
      <c r="L81" s="15"/>
      <c r="M81" s="15"/>
    </row>
    <row r="82" customFormat="false" ht="45.75" hidden="false" customHeight="true" outlineLevel="0" collapsed="false">
      <c r="A82" s="12" t="n">
        <v>79</v>
      </c>
      <c r="B82" s="12" t="s">
        <v>287</v>
      </c>
      <c r="C82" s="16" t="s">
        <v>288</v>
      </c>
      <c r="D82" s="16" t="s">
        <v>289</v>
      </c>
      <c r="E82" s="12" t="s">
        <v>290</v>
      </c>
      <c r="F82" s="13"/>
      <c r="G82" s="13"/>
      <c r="H82" s="13"/>
      <c r="I82" s="13"/>
      <c r="J82" s="13"/>
      <c r="K82" s="14" t="str">
        <f aca="false">IFERROR(INDEX(코드집!$B:$B,MATCH($J82,코드집!$A:$A,0)),"")</f>
        <v/>
      </c>
      <c r="L82" s="15"/>
      <c r="M82" s="15"/>
    </row>
    <row r="83" customFormat="false" ht="45.75" hidden="false" customHeight="true" outlineLevel="0" collapsed="false">
      <c r="A83" s="12" t="n">
        <v>80</v>
      </c>
      <c r="B83" s="12" t="s">
        <v>58</v>
      </c>
      <c r="C83" s="12" t="s">
        <v>291</v>
      </c>
      <c r="D83" s="12" t="s">
        <v>292</v>
      </c>
      <c r="E83" s="12" t="s">
        <v>293</v>
      </c>
      <c r="F83" s="13"/>
      <c r="G83" s="13"/>
      <c r="H83" s="13"/>
      <c r="I83" s="13"/>
      <c r="J83" s="13"/>
      <c r="K83" s="14" t="str">
        <f aca="false">IFERROR(INDEX(코드집!$B:$B,MATCH($J83,코드집!$A:$A,0)),"")</f>
        <v/>
      </c>
      <c r="L83" s="15"/>
      <c r="M83" s="15"/>
    </row>
    <row r="84" customFormat="false" ht="45.75" hidden="false" customHeight="true" outlineLevel="0" collapsed="false">
      <c r="A84" s="12" t="n">
        <v>81</v>
      </c>
      <c r="B84" s="12" t="s">
        <v>98</v>
      </c>
      <c r="C84" s="12" t="s">
        <v>294</v>
      </c>
      <c r="D84" s="12" t="s">
        <v>295</v>
      </c>
      <c r="E84" s="12" t="s">
        <v>296</v>
      </c>
      <c r="F84" s="13"/>
      <c r="G84" s="13"/>
      <c r="H84" s="13"/>
      <c r="I84" s="13"/>
      <c r="J84" s="13"/>
      <c r="K84" s="14" t="str">
        <f aca="false">IFERROR(INDEX(코드집!$B:$B,MATCH($J84,코드집!$A:$A,0)),"")</f>
        <v/>
      </c>
      <c r="L84" s="15"/>
      <c r="M84" s="15"/>
    </row>
    <row r="85" customFormat="false" ht="45.75" hidden="false" customHeight="true" outlineLevel="0" collapsed="false">
      <c r="A85" s="12" t="n">
        <v>82</v>
      </c>
      <c r="B85" s="12" t="s">
        <v>164</v>
      </c>
      <c r="C85" s="12" t="s">
        <v>297</v>
      </c>
      <c r="D85" s="12" t="s">
        <v>298</v>
      </c>
      <c r="E85" s="12" t="s">
        <v>299</v>
      </c>
      <c r="F85" s="13"/>
      <c r="G85" s="13"/>
      <c r="H85" s="13"/>
      <c r="I85" s="13"/>
      <c r="J85" s="13"/>
      <c r="K85" s="14" t="str">
        <f aca="false">IFERROR(INDEX(코드집!$B:$B,MATCH($J85,코드집!$A:$A,0)),"")</f>
        <v/>
      </c>
      <c r="L85" s="15"/>
      <c r="M85" s="15"/>
    </row>
    <row r="86" customFormat="false" ht="45.75" hidden="false" customHeight="true" outlineLevel="0" collapsed="false">
      <c r="A86" s="12" t="n">
        <v>83</v>
      </c>
      <c r="B86" s="12" t="s">
        <v>130</v>
      </c>
      <c r="C86" s="12" t="s">
        <v>300</v>
      </c>
      <c r="D86" s="12"/>
      <c r="E86" s="12"/>
      <c r="F86" s="13"/>
      <c r="G86" s="13"/>
      <c r="H86" s="13"/>
      <c r="I86" s="13"/>
      <c r="J86" s="13"/>
      <c r="K86" s="14" t="str">
        <f aca="false">IFERROR(INDEX(코드집!$B:$B,MATCH($J86,코드집!$A:$A,0)),"")</f>
        <v/>
      </c>
      <c r="L86" s="15"/>
      <c r="M86" s="15"/>
    </row>
    <row r="87" customFormat="false" ht="45.75" hidden="false" customHeight="true" outlineLevel="0" collapsed="false">
      <c r="A87" s="12" t="n">
        <v>84</v>
      </c>
      <c r="B87" s="12" t="s">
        <v>130</v>
      </c>
      <c r="C87" s="12" t="s">
        <v>301</v>
      </c>
      <c r="D87" s="12" t="s">
        <v>302</v>
      </c>
      <c r="E87" s="12" t="s">
        <v>303</v>
      </c>
      <c r="F87" s="13"/>
      <c r="G87" s="13"/>
      <c r="H87" s="13"/>
      <c r="I87" s="13"/>
      <c r="J87" s="13"/>
      <c r="K87" s="14" t="str">
        <f aca="false">IFERROR(INDEX(코드집!$B:$B,MATCH($J87,코드집!$A:$A,0)),"")</f>
        <v/>
      </c>
      <c r="L87" s="15"/>
      <c r="M87" s="15"/>
    </row>
    <row r="88" customFormat="false" ht="45.75" hidden="false" customHeight="true" outlineLevel="0" collapsed="false">
      <c r="A88" s="12" t="n">
        <v>85</v>
      </c>
      <c r="B88" s="12" t="s">
        <v>52</v>
      </c>
      <c r="C88" s="12" t="s">
        <v>304</v>
      </c>
      <c r="D88" s="12" t="s">
        <v>305</v>
      </c>
      <c r="E88" s="12" t="s">
        <v>306</v>
      </c>
      <c r="F88" s="13"/>
      <c r="G88" s="13"/>
      <c r="H88" s="13"/>
      <c r="I88" s="13"/>
      <c r="J88" s="13"/>
      <c r="K88" s="14" t="str">
        <f aca="false">IFERROR(INDEX(코드집!$B:$B,MATCH($J88,코드집!$A:$A,0)),"")</f>
        <v/>
      </c>
      <c r="L88" s="15"/>
      <c r="M88" s="15"/>
    </row>
    <row r="89" customFormat="false" ht="45.75" hidden="false" customHeight="true" outlineLevel="0" collapsed="false">
      <c r="A89" s="12" t="n">
        <v>86</v>
      </c>
      <c r="B89" s="12" t="s">
        <v>82</v>
      </c>
      <c r="C89" s="12" t="s">
        <v>307</v>
      </c>
      <c r="D89" s="12" t="s">
        <v>308</v>
      </c>
      <c r="E89" s="12" t="s">
        <v>309</v>
      </c>
      <c r="F89" s="13"/>
      <c r="G89" s="13"/>
      <c r="H89" s="13"/>
      <c r="I89" s="13"/>
      <c r="J89" s="13"/>
      <c r="K89" s="14" t="str">
        <f aca="false">IFERROR(INDEX(코드집!$B:$B,MATCH($J89,코드집!$A:$A,0)),"")</f>
        <v/>
      </c>
      <c r="L89" s="15"/>
      <c r="M89" s="15"/>
    </row>
    <row r="90" customFormat="false" ht="45.75" hidden="false" customHeight="true" outlineLevel="0" collapsed="false">
      <c r="A90" s="12" t="n">
        <v>87</v>
      </c>
      <c r="B90" s="12" t="s">
        <v>58</v>
      </c>
      <c r="C90" s="12" t="s">
        <v>310</v>
      </c>
      <c r="D90" s="12" t="s">
        <v>311</v>
      </c>
      <c r="E90" s="12" t="s">
        <v>312</v>
      </c>
      <c r="F90" s="13"/>
      <c r="G90" s="13"/>
      <c r="H90" s="13"/>
      <c r="I90" s="13"/>
      <c r="J90" s="13"/>
      <c r="K90" s="14" t="str">
        <f aca="false">IFERROR(INDEX(코드집!$B:$B,MATCH($J90,코드집!$A:$A,0)),"")</f>
        <v/>
      </c>
      <c r="L90" s="15"/>
      <c r="M90" s="15"/>
    </row>
    <row r="91" customFormat="false" ht="45.75" hidden="false" customHeight="true" outlineLevel="0" collapsed="false">
      <c r="A91" s="12" t="n">
        <v>88</v>
      </c>
      <c r="B91" s="12" t="s">
        <v>52</v>
      </c>
      <c r="C91" s="12" t="s">
        <v>313</v>
      </c>
      <c r="D91" s="12" t="s">
        <v>314</v>
      </c>
      <c r="E91" s="12" t="s">
        <v>315</v>
      </c>
      <c r="F91" s="13"/>
      <c r="G91" s="13"/>
      <c r="H91" s="13"/>
      <c r="I91" s="13"/>
      <c r="J91" s="13"/>
      <c r="K91" s="14" t="str">
        <f aca="false">IFERROR(INDEX(코드집!$B:$B,MATCH($J91,코드집!$A:$A,0)),"")</f>
        <v/>
      </c>
      <c r="L91" s="15"/>
      <c r="M91" s="15"/>
    </row>
    <row r="92" customFormat="false" ht="45.75" hidden="false" customHeight="true" outlineLevel="0" collapsed="false">
      <c r="A92" s="12" t="n">
        <v>89</v>
      </c>
      <c r="B92" s="12" t="s">
        <v>177</v>
      </c>
      <c r="C92" s="16" t="s">
        <v>316</v>
      </c>
      <c r="D92" s="12"/>
      <c r="E92" s="12"/>
      <c r="F92" s="13"/>
      <c r="G92" s="13"/>
      <c r="H92" s="13"/>
      <c r="I92" s="13"/>
      <c r="J92" s="13"/>
      <c r="K92" s="14" t="str">
        <f aca="false">IFERROR(INDEX(코드집!$B:$B,MATCH($J92,코드집!$A:$A,0)),"")</f>
        <v/>
      </c>
      <c r="L92" s="15"/>
      <c r="M92" s="15"/>
    </row>
    <row r="93" customFormat="false" ht="45.75" hidden="false" customHeight="true" outlineLevel="0" collapsed="false">
      <c r="A93" s="12" t="n">
        <v>90</v>
      </c>
      <c r="B93" s="12" t="s">
        <v>248</v>
      </c>
      <c r="C93" s="12" t="s">
        <v>317</v>
      </c>
      <c r="D93" s="12"/>
      <c r="E93" s="12"/>
      <c r="F93" s="13"/>
      <c r="G93" s="13"/>
      <c r="H93" s="13"/>
      <c r="I93" s="13"/>
      <c r="J93" s="13"/>
      <c r="K93" s="14" t="str">
        <f aca="false">IFERROR(INDEX(코드집!$B:$B,MATCH($J93,코드집!$A:$A,0)),"")</f>
        <v/>
      </c>
      <c r="L93" s="15"/>
      <c r="M93" s="15"/>
    </row>
    <row r="94" customFormat="false" ht="45.75" hidden="false" customHeight="true" outlineLevel="0" collapsed="false">
      <c r="A94" s="12" t="n">
        <v>91</v>
      </c>
      <c r="B94" s="12" t="s">
        <v>68</v>
      </c>
      <c r="C94" s="12" t="s">
        <v>318</v>
      </c>
      <c r="D94" s="12" t="s">
        <v>319</v>
      </c>
      <c r="E94" s="12" t="s">
        <v>320</v>
      </c>
      <c r="F94" s="13"/>
      <c r="G94" s="13"/>
      <c r="H94" s="13"/>
      <c r="I94" s="13"/>
      <c r="J94" s="13"/>
      <c r="K94" s="14" t="str">
        <f aca="false">IFERROR(INDEX(코드집!$B:$B,MATCH($J94,코드집!$A:$A,0)),"")</f>
        <v/>
      </c>
      <c r="L94" s="15"/>
      <c r="M94" s="15"/>
    </row>
    <row r="95" customFormat="false" ht="45.75" hidden="false" customHeight="true" outlineLevel="0" collapsed="false">
      <c r="A95" s="12" t="n">
        <v>92</v>
      </c>
      <c r="B95" s="12" t="s">
        <v>181</v>
      </c>
      <c r="C95" s="12" t="s">
        <v>321</v>
      </c>
      <c r="D95" s="12" t="s">
        <v>322</v>
      </c>
      <c r="E95" s="12" t="s">
        <v>323</v>
      </c>
      <c r="F95" s="13"/>
      <c r="G95" s="13"/>
      <c r="H95" s="13"/>
      <c r="I95" s="13"/>
      <c r="J95" s="13"/>
      <c r="K95" s="14" t="str">
        <f aca="false">IFERROR(INDEX(코드집!$B:$B,MATCH($J95,코드집!$A:$A,0)),"")</f>
        <v/>
      </c>
      <c r="L95" s="15"/>
      <c r="M95" s="15"/>
    </row>
    <row r="96" customFormat="false" ht="45.75" hidden="false" customHeight="true" outlineLevel="0" collapsed="false">
      <c r="A96" s="12" t="n">
        <v>93</v>
      </c>
      <c r="B96" s="12" t="s">
        <v>324</v>
      </c>
      <c r="C96" s="12" t="s">
        <v>325</v>
      </c>
      <c r="D96" s="12" t="s">
        <v>326</v>
      </c>
      <c r="E96" s="12" t="s">
        <v>327</v>
      </c>
      <c r="F96" s="13"/>
      <c r="G96" s="13"/>
      <c r="H96" s="13"/>
      <c r="I96" s="13"/>
      <c r="J96" s="13"/>
      <c r="K96" s="14" t="str">
        <f aca="false">IFERROR(INDEX(코드집!$B:$B,MATCH($J96,코드집!$A:$A,0)),"")</f>
        <v/>
      </c>
      <c r="L96" s="15"/>
      <c r="M96" s="15"/>
    </row>
    <row r="97" customFormat="false" ht="45.75" hidden="false" customHeight="true" outlineLevel="0" collapsed="false">
      <c r="A97" s="12" t="n">
        <v>94</v>
      </c>
      <c r="B97" s="12" t="s">
        <v>110</v>
      </c>
      <c r="C97" s="16" t="s">
        <v>328</v>
      </c>
      <c r="D97" s="16" t="s">
        <v>329</v>
      </c>
      <c r="E97" s="16" t="s">
        <v>330</v>
      </c>
      <c r="F97" s="13"/>
      <c r="G97" s="13"/>
      <c r="H97" s="13"/>
      <c r="I97" s="13"/>
      <c r="J97" s="13"/>
      <c r="K97" s="14" t="str">
        <f aca="false">IFERROR(INDEX(코드집!$B:$B,MATCH($J97,코드집!$A:$A,0)),"")</f>
        <v/>
      </c>
      <c r="L97" s="15"/>
      <c r="M97" s="15"/>
    </row>
    <row r="98" customFormat="false" ht="45.75" hidden="false" customHeight="true" outlineLevel="0" collapsed="false">
      <c r="A98" s="12" t="n">
        <v>95</v>
      </c>
      <c r="B98" s="12" t="s">
        <v>156</v>
      </c>
      <c r="C98" s="12" t="s">
        <v>331</v>
      </c>
      <c r="D98" s="12" t="s">
        <v>332</v>
      </c>
      <c r="E98" s="12" t="s">
        <v>333</v>
      </c>
      <c r="F98" s="13"/>
      <c r="G98" s="13"/>
      <c r="H98" s="13"/>
      <c r="I98" s="13"/>
      <c r="J98" s="13"/>
      <c r="K98" s="14" t="str">
        <f aca="false">IFERROR(INDEX(코드집!$B:$B,MATCH($J98,코드집!$A:$A,0)),"")</f>
        <v/>
      </c>
      <c r="L98" s="15"/>
      <c r="M98" s="15"/>
    </row>
    <row r="99" customFormat="false" ht="45.75" hidden="false" customHeight="true" outlineLevel="0" collapsed="false">
      <c r="A99" s="12" t="n">
        <v>96</v>
      </c>
      <c r="B99" s="12" t="s">
        <v>110</v>
      </c>
      <c r="C99" s="12" t="s">
        <v>334</v>
      </c>
      <c r="D99" s="12"/>
      <c r="E99" s="12"/>
      <c r="F99" s="13"/>
      <c r="G99" s="13"/>
      <c r="H99" s="13"/>
      <c r="I99" s="13"/>
      <c r="J99" s="13"/>
      <c r="K99" s="14" t="str">
        <f aca="false">IFERROR(INDEX(코드집!$B:$B,MATCH($J99,코드집!$A:$A,0)),"")</f>
        <v/>
      </c>
      <c r="L99" s="15"/>
      <c r="M99" s="15"/>
    </row>
    <row r="100" customFormat="false" ht="45.75" hidden="false" customHeight="true" outlineLevel="0" collapsed="false">
      <c r="A100" s="12" t="n">
        <v>97</v>
      </c>
      <c r="B100" s="12" t="s">
        <v>335</v>
      </c>
      <c r="C100" s="12" t="s">
        <v>336</v>
      </c>
      <c r="D100" s="12"/>
      <c r="E100" s="12"/>
      <c r="F100" s="13"/>
      <c r="G100" s="13"/>
      <c r="H100" s="13"/>
      <c r="I100" s="13"/>
      <c r="J100" s="13"/>
      <c r="K100" s="14" t="str">
        <f aca="false">IFERROR(INDEX(코드집!$B:$B,MATCH($J100,코드집!$A:$A,0)),"")</f>
        <v/>
      </c>
      <c r="L100" s="15"/>
      <c r="M100" s="15"/>
    </row>
    <row r="101" customFormat="false" ht="45.75" hidden="false" customHeight="true" outlineLevel="0" collapsed="false">
      <c r="A101" s="12" t="n">
        <v>98</v>
      </c>
      <c r="B101" s="12" t="s">
        <v>185</v>
      </c>
      <c r="C101" s="16" t="s">
        <v>337</v>
      </c>
      <c r="D101" s="12"/>
      <c r="E101" s="12"/>
      <c r="F101" s="13"/>
      <c r="G101" s="13"/>
      <c r="H101" s="13"/>
      <c r="I101" s="13"/>
      <c r="J101" s="13"/>
      <c r="K101" s="14" t="str">
        <f aca="false">IFERROR(INDEX(코드집!$B:$B,MATCH($J101,코드집!$A:$A,0)),"")</f>
        <v/>
      </c>
      <c r="L101" s="15"/>
      <c r="M101" s="15"/>
    </row>
    <row r="102" customFormat="false" ht="45.75" hidden="false" customHeight="true" outlineLevel="0" collapsed="false">
      <c r="A102" s="12" t="n">
        <v>99</v>
      </c>
      <c r="B102" s="12" t="s">
        <v>287</v>
      </c>
      <c r="C102" s="12" t="s">
        <v>338</v>
      </c>
      <c r="D102" s="12" t="s">
        <v>339</v>
      </c>
      <c r="E102" s="12" t="s">
        <v>340</v>
      </c>
      <c r="F102" s="13"/>
      <c r="G102" s="13"/>
      <c r="H102" s="13"/>
      <c r="I102" s="13"/>
      <c r="J102" s="13"/>
      <c r="K102" s="14" t="str">
        <f aca="false">IFERROR(INDEX(코드집!$B:$B,MATCH($J102,코드집!$A:$A,0)),"")</f>
        <v/>
      </c>
      <c r="L102" s="15"/>
      <c r="M102" s="15"/>
    </row>
    <row r="103" customFormat="false" ht="45.75" hidden="false" customHeight="true" outlineLevel="0" collapsed="false">
      <c r="A103" s="12" t="n">
        <v>100</v>
      </c>
      <c r="B103" s="12" t="s">
        <v>78</v>
      </c>
      <c r="C103" s="12" t="s">
        <v>341</v>
      </c>
      <c r="D103" s="12" t="s">
        <v>342</v>
      </c>
      <c r="E103" s="12" t="s">
        <v>343</v>
      </c>
      <c r="F103" s="13"/>
      <c r="G103" s="13"/>
      <c r="H103" s="13"/>
      <c r="I103" s="13"/>
      <c r="J103" s="13"/>
      <c r="K103" s="14" t="str">
        <f aca="false">IFERROR(INDEX(코드집!$B:$B,MATCH($J103,코드집!$A:$A,0)),"")</f>
        <v/>
      </c>
      <c r="L103" s="15"/>
      <c r="M103" s="15"/>
    </row>
    <row r="104" customFormat="false" ht="45.75" hidden="false" customHeight="true" outlineLevel="0" collapsed="false">
      <c r="A104" s="12" t="n">
        <v>101</v>
      </c>
      <c r="B104" s="12" t="s">
        <v>87</v>
      </c>
      <c r="C104" s="16" t="s">
        <v>344</v>
      </c>
      <c r="D104" s="16" t="s">
        <v>345</v>
      </c>
      <c r="E104" s="16" t="s">
        <v>346</v>
      </c>
      <c r="F104" s="13"/>
      <c r="G104" s="13"/>
      <c r="H104" s="13"/>
      <c r="I104" s="13"/>
      <c r="J104" s="13"/>
      <c r="K104" s="14" t="str">
        <f aca="false">IFERROR(INDEX(코드집!$B:$B,MATCH($J104,코드집!$A:$A,0)),"")</f>
        <v/>
      </c>
      <c r="L104" s="15"/>
      <c r="M104" s="15"/>
    </row>
    <row r="105" customFormat="false" ht="45.75" hidden="false" customHeight="true" outlineLevel="0" collapsed="false">
      <c r="A105" s="12" t="n">
        <v>102</v>
      </c>
      <c r="B105" s="12" t="s">
        <v>189</v>
      </c>
      <c r="C105" s="12" t="s">
        <v>347</v>
      </c>
      <c r="D105" s="12" t="s">
        <v>348</v>
      </c>
      <c r="E105" s="12" t="s">
        <v>349</v>
      </c>
      <c r="F105" s="13"/>
      <c r="G105" s="13"/>
      <c r="H105" s="13"/>
      <c r="I105" s="13"/>
      <c r="J105" s="13"/>
      <c r="K105" s="14" t="str">
        <f aca="false">IFERROR(INDEX(코드집!$B:$B,MATCH($J105,코드집!$A:$A,0)),"")</f>
        <v/>
      </c>
      <c r="L105" s="15"/>
      <c r="M105" s="15"/>
    </row>
    <row r="106" customFormat="false" ht="45.75" hidden="false" customHeight="true" outlineLevel="0" collapsed="false">
      <c r="A106" s="12" t="n">
        <v>103</v>
      </c>
      <c r="B106" s="12" t="s">
        <v>248</v>
      </c>
      <c r="C106" s="12" t="s">
        <v>350</v>
      </c>
      <c r="D106" s="12"/>
      <c r="E106" s="12"/>
      <c r="F106" s="13"/>
      <c r="G106" s="13"/>
      <c r="H106" s="13"/>
      <c r="I106" s="13"/>
      <c r="J106" s="13"/>
      <c r="K106" s="14" t="str">
        <f aca="false">IFERROR(INDEX(코드집!$B:$B,MATCH($J106,코드집!$A:$A,0)),"")</f>
        <v/>
      </c>
      <c r="L106" s="15"/>
      <c r="M106" s="15"/>
    </row>
    <row r="107" customFormat="false" ht="45.75" hidden="false" customHeight="true" outlineLevel="0" collapsed="false">
      <c r="A107" s="12" t="n">
        <v>104</v>
      </c>
      <c r="B107" s="12" t="s">
        <v>164</v>
      </c>
      <c r="C107" s="12" t="s">
        <v>351</v>
      </c>
      <c r="D107" s="12" t="s">
        <v>352</v>
      </c>
      <c r="E107" s="12" t="s">
        <v>353</v>
      </c>
      <c r="F107" s="13"/>
      <c r="G107" s="13"/>
      <c r="H107" s="13"/>
      <c r="I107" s="13"/>
      <c r="J107" s="13"/>
      <c r="K107" s="14" t="str">
        <f aca="false">IFERROR(INDEX(코드집!$B:$B,MATCH($J107,코드집!$A:$A,0)),"")</f>
        <v/>
      </c>
      <c r="L107" s="15"/>
      <c r="M107" s="15"/>
    </row>
    <row r="108" customFormat="false" ht="45.75" hidden="false" customHeight="true" outlineLevel="0" collapsed="false">
      <c r="A108" s="12" t="n">
        <v>105</v>
      </c>
      <c r="B108" s="12" t="s">
        <v>87</v>
      </c>
      <c r="C108" s="12" t="s">
        <v>354</v>
      </c>
      <c r="D108" s="12" t="s">
        <v>355</v>
      </c>
      <c r="E108" s="12"/>
      <c r="F108" s="13"/>
      <c r="G108" s="13"/>
      <c r="H108" s="13"/>
      <c r="I108" s="13"/>
      <c r="J108" s="13"/>
      <c r="K108" s="14" t="str">
        <f aca="false">IFERROR(INDEX(코드집!$B:$B,MATCH($J108,코드집!$A:$A,0)),"")</f>
        <v/>
      </c>
      <c r="L108" s="15"/>
      <c r="M108" s="15"/>
    </row>
    <row r="109" customFormat="false" ht="45.75" hidden="false" customHeight="true" outlineLevel="0" collapsed="false">
      <c r="A109" s="12" t="n">
        <v>106</v>
      </c>
      <c r="B109" s="12" t="s">
        <v>141</v>
      </c>
      <c r="C109" s="16" t="s">
        <v>356</v>
      </c>
      <c r="D109" s="16" t="s">
        <v>357</v>
      </c>
      <c r="E109" s="16" t="s">
        <v>358</v>
      </c>
      <c r="F109" s="13"/>
      <c r="G109" s="13"/>
      <c r="H109" s="13"/>
      <c r="I109" s="13"/>
      <c r="J109" s="13"/>
      <c r="K109" s="14" t="str">
        <f aca="false">IFERROR(INDEX(코드집!$B:$B,MATCH($J109,코드집!$A:$A,0)),"")</f>
        <v/>
      </c>
      <c r="L109" s="15"/>
      <c r="M109" s="15"/>
    </row>
    <row r="110" customFormat="false" ht="45.75" hidden="false" customHeight="true" outlineLevel="0" collapsed="false">
      <c r="A110" s="12" t="n">
        <v>107</v>
      </c>
      <c r="B110" s="12" t="s">
        <v>156</v>
      </c>
      <c r="C110" s="12" t="s">
        <v>359</v>
      </c>
      <c r="D110" s="12" t="s">
        <v>360</v>
      </c>
      <c r="E110" s="12" t="s">
        <v>361</v>
      </c>
      <c r="F110" s="13"/>
      <c r="G110" s="13"/>
      <c r="H110" s="13"/>
      <c r="I110" s="13"/>
      <c r="J110" s="13"/>
      <c r="K110" s="14" t="str">
        <f aca="false">IFERROR(INDEX(코드집!$B:$B,MATCH($J110,코드집!$A:$A,0)),"")</f>
        <v/>
      </c>
      <c r="L110" s="15"/>
      <c r="M110" s="15"/>
    </row>
    <row r="111" customFormat="false" ht="45.75" hidden="false" customHeight="true" outlineLevel="0" collapsed="false">
      <c r="A111" s="12" t="n">
        <v>108</v>
      </c>
      <c r="B111" s="12" t="s">
        <v>130</v>
      </c>
      <c r="C111" s="16" t="s">
        <v>362</v>
      </c>
      <c r="D111" s="16" t="s">
        <v>122</v>
      </c>
      <c r="E111" s="16" t="s">
        <v>363</v>
      </c>
      <c r="F111" s="13"/>
      <c r="G111" s="13"/>
      <c r="H111" s="13"/>
      <c r="I111" s="13"/>
      <c r="J111" s="13"/>
      <c r="K111" s="14" t="str">
        <f aca="false">IFERROR(INDEX(코드집!$B:$B,MATCH($J111,코드집!$A:$A,0)),"")</f>
        <v/>
      </c>
      <c r="L111" s="15"/>
      <c r="M111" s="15"/>
    </row>
    <row r="112" customFormat="false" ht="45.75" hidden="false" customHeight="true" outlineLevel="0" collapsed="false">
      <c r="A112" s="12" t="n">
        <v>109</v>
      </c>
      <c r="B112" s="12" t="s">
        <v>181</v>
      </c>
      <c r="C112" s="12" t="s">
        <v>364</v>
      </c>
      <c r="D112" s="12" t="s">
        <v>365</v>
      </c>
      <c r="E112" s="12" t="s">
        <v>366</v>
      </c>
      <c r="F112" s="13"/>
      <c r="G112" s="13"/>
      <c r="H112" s="13"/>
      <c r="I112" s="13"/>
      <c r="J112" s="13"/>
      <c r="K112" s="14" t="str">
        <f aca="false">IFERROR(INDEX(코드집!$B:$B,MATCH($J112,코드집!$A:$A,0)),"")</f>
        <v/>
      </c>
      <c r="L112" s="15"/>
      <c r="M112" s="15"/>
    </row>
    <row r="113" customFormat="false" ht="45.75" hidden="false" customHeight="true" outlineLevel="0" collapsed="false">
      <c r="A113" s="12" t="n">
        <v>110</v>
      </c>
      <c r="B113" s="12" t="s">
        <v>68</v>
      </c>
      <c r="C113" s="16" t="s">
        <v>367</v>
      </c>
      <c r="D113" s="12"/>
      <c r="E113" s="12"/>
      <c r="F113" s="13"/>
      <c r="G113" s="13"/>
      <c r="H113" s="13"/>
      <c r="I113" s="13"/>
      <c r="J113" s="13"/>
      <c r="K113" s="14" t="str">
        <f aca="false">IFERROR(INDEX(코드집!$B:$B,MATCH($J113,코드집!$A:$A,0)),"")</f>
        <v/>
      </c>
      <c r="L113" s="15"/>
      <c r="M113" s="15"/>
    </row>
    <row r="114" customFormat="false" ht="45.75" hidden="false" customHeight="true" outlineLevel="0" collapsed="false">
      <c r="A114" s="12" t="n">
        <v>111</v>
      </c>
      <c r="B114" s="12" t="s">
        <v>177</v>
      </c>
      <c r="C114" s="12" t="s">
        <v>368</v>
      </c>
      <c r="D114" s="12" t="s">
        <v>369</v>
      </c>
      <c r="E114" s="12" t="s">
        <v>370</v>
      </c>
      <c r="F114" s="13"/>
      <c r="G114" s="13"/>
      <c r="H114" s="13"/>
      <c r="I114" s="13"/>
      <c r="J114" s="13"/>
      <c r="K114" s="14" t="str">
        <f aca="false">IFERROR(INDEX(코드집!$B:$B,MATCH($J114,코드집!$A:$A,0)),"")</f>
        <v/>
      </c>
      <c r="L114" s="15"/>
      <c r="M114" s="15"/>
    </row>
    <row r="115" customFormat="false" ht="45.75" hidden="false" customHeight="true" outlineLevel="0" collapsed="false">
      <c r="A115" s="12" t="n">
        <v>112</v>
      </c>
      <c r="B115" s="12" t="s">
        <v>181</v>
      </c>
      <c r="C115" s="12" t="s">
        <v>371</v>
      </c>
      <c r="D115" s="12" t="s">
        <v>372</v>
      </c>
      <c r="E115" s="12" t="s">
        <v>373</v>
      </c>
      <c r="F115" s="13"/>
      <c r="G115" s="13"/>
      <c r="H115" s="13"/>
      <c r="I115" s="13"/>
      <c r="J115" s="13"/>
      <c r="K115" s="14" t="str">
        <f aca="false">IFERROR(INDEX(코드집!$B:$B,MATCH($J115,코드집!$A:$A,0)),"")</f>
        <v/>
      </c>
      <c r="L115" s="15"/>
      <c r="M115" s="15"/>
    </row>
    <row r="116" customFormat="false" ht="45.75" hidden="false" customHeight="true" outlineLevel="0" collapsed="false">
      <c r="A116" s="12" t="n">
        <v>113</v>
      </c>
      <c r="B116" s="12" t="s">
        <v>108</v>
      </c>
      <c r="C116" s="12" t="s">
        <v>374</v>
      </c>
      <c r="D116" s="12"/>
      <c r="E116" s="12"/>
      <c r="F116" s="13"/>
      <c r="G116" s="13"/>
      <c r="H116" s="13"/>
      <c r="I116" s="13"/>
      <c r="J116" s="13"/>
      <c r="K116" s="14" t="str">
        <f aca="false">IFERROR(INDEX(코드집!$B:$B,MATCH($J116,코드집!$A:$A,0)),"")</f>
        <v/>
      </c>
      <c r="L116" s="15"/>
      <c r="M116" s="15"/>
    </row>
    <row r="117" customFormat="false" ht="45.75" hidden="false" customHeight="true" outlineLevel="0" collapsed="false">
      <c r="A117" s="12" t="n">
        <v>114</v>
      </c>
      <c r="B117" s="12" t="s">
        <v>223</v>
      </c>
      <c r="C117" s="12" t="s">
        <v>375</v>
      </c>
      <c r="D117" s="12" t="s">
        <v>376</v>
      </c>
      <c r="E117" s="12" t="s">
        <v>377</v>
      </c>
      <c r="F117" s="13"/>
      <c r="G117" s="13"/>
      <c r="H117" s="13"/>
      <c r="I117" s="13"/>
      <c r="J117" s="13"/>
      <c r="K117" s="14" t="str">
        <f aca="false">IFERROR(INDEX(코드집!$B:$B,MATCH($J117,코드집!$A:$A,0)),"")</f>
        <v/>
      </c>
      <c r="L117" s="15"/>
      <c r="M117" s="15"/>
    </row>
    <row r="118" customFormat="false" ht="45.75" hidden="false" customHeight="true" outlineLevel="0" collapsed="false">
      <c r="A118" s="12" t="n">
        <v>115</v>
      </c>
      <c r="B118" s="12" t="s">
        <v>38</v>
      </c>
      <c r="C118" s="12" t="s">
        <v>378</v>
      </c>
      <c r="D118" s="12" t="s">
        <v>379</v>
      </c>
      <c r="E118" s="12" t="s">
        <v>380</v>
      </c>
      <c r="F118" s="13"/>
      <c r="G118" s="13"/>
      <c r="H118" s="13"/>
      <c r="I118" s="13"/>
      <c r="J118" s="13"/>
      <c r="K118" s="14" t="str">
        <f aca="false">IFERROR(INDEX(코드집!$B:$B,MATCH($J118,코드집!$A:$A,0)),"")</f>
        <v/>
      </c>
      <c r="L118" s="15"/>
      <c r="M118" s="15"/>
    </row>
    <row r="119" customFormat="false" ht="45.75" hidden="false" customHeight="true" outlineLevel="0" collapsed="false">
      <c r="A119" s="12" t="n">
        <v>116</v>
      </c>
      <c r="B119" s="12" t="s">
        <v>324</v>
      </c>
      <c r="C119" s="16" t="s">
        <v>381</v>
      </c>
      <c r="D119" s="16" t="s">
        <v>382</v>
      </c>
      <c r="E119" s="12" t="s">
        <v>383</v>
      </c>
      <c r="F119" s="13"/>
      <c r="G119" s="13"/>
      <c r="H119" s="13"/>
      <c r="I119" s="13"/>
      <c r="J119" s="13"/>
      <c r="K119" s="14" t="str">
        <f aca="false">IFERROR(INDEX(코드집!$B:$B,MATCH($J119,코드집!$A:$A,0)),"")</f>
        <v/>
      </c>
      <c r="L119" s="15"/>
      <c r="M119" s="15"/>
    </row>
    <row r="120" customFormat="false" ht="45.75" hidden="false" customHeight="true" outlineLevel="0" collapsed="false">
      <c r="A120" s="12" t="n">
        <v>117</v>
      </c>
      <c r="B120" s="12" t="s">
        <v>87</v>
      </c>
      <c r="C120" s="12" t="s">
        <v>384</v>
      </c>
      <c r="D120" s="12" t="s">
        <v>385</v>
      </c>
      <c r="E120" s="12" t="s">
        <v>386</v>
      </c>
      <c r="F120" s="13"/>
      <c r="G120" s="13"/>
      <c r="H120" s="13"/>
      <c r="I120" s="13"/>
      <c r="J120" s="13"/>
      <c r="K120" s="14" t="str">
        <f aca="false">IFERROR(INDEX(코드집!$B:$B,MATCH($J120,코드집!$A:$A,0)),"")</f>
        <v/>
      </c>
      <c r="L120" s="15"/>
      <c r="M120" s="15"/>
    </row>
    <row r="121" customFormat="false" ht="45.75" hidden="false" customHeight="true" outlineLevel="0" collapsed="false">
      <c r="A121" s="12" t="n">
        <v>118</v>
      </c>
      <c r="B121" s="12" t="s">
        <v>58</v>
      </c>
      <c r="C121" s="12" t="s">
        <v>387</v>
      </c>
      <c r="D121" s="12" t="s">
        <v>388</v>
      </c>
      <c r="E121" s="12" t="s">
        <v>389</v>
      </c>
      <c r="F121" s="13"/>
      <c r="G121" s="13"/>
      <c r="H121" s="13"/>
      <c r="I121" s="13"/>
      <c r="J121" s="13"/>
      <c r="K121" s="14" t="str">
        <f aca="false">IFERROR(INDEX(코드집!$B:$B,MATCH($J121,코드집!$A:$A,0)),"")</f>
        <v/>
      </c>
      <c r="L121" s="15"/>
      <c r="M121" s="15"/>
    </row>
    <row r="122" customFormat="false" ht="45.75" hidden="false" customHeight="true" outlineLevel="0" collapsed="false">
      <c r="A122" s="12" t="n">
        <v>119</v>
      </c>
      <c r="B122" s="12" t="s">
        <v>38</v>
      </c>
      <c r="C122" s="12" t="s">
        <v>390</v>
      </c>
      <c r="D122" s="12"/>
      <c r="E122" s="12"/>
      <c r="F122" s="13"/>
      <c r="G122" s="13"/>
      <c r="H122" s="13"/>
      <c r="I122" s="13"/>
      <c r="J122" s="13"/>
      <c r="K122" s="14" t="str">
        <f aca="false">IFERROR(INDEX(코드집!$B:$B,MATCH($J122,코드집!$A:$A,0)),"")</f>
        <v/>
      </c>
      <c r="L122" s="15"/>
      <c r="M122" s="15"/>
    </row>
    <row r="123" customFormat="false" ht="45.75" hidden="false" customHeight="true" outlineLevel="0" collapsed="false">
      <c r="A123" s="12" t="n">
        <v>120</v>
      </c>
      <c r="B123" s="12" t="s">
        <v>145</v>
      </c>
      <c r="C123" s="12" t="s">
        <v>391</v>
      </c>
      <c r="D123" s="12" t="s">
        <v>392</v>
      </c>
      <c r="E123" s="12" t="s">
        <v>393</v>
      </c>
      <c r="F123" s="13"/>
      <c r="G123" s="13"/>
      <c r="H123" s="13"/>
      <c r="I123" s="13"/>
      <c r="J123" s="13"/>
      <c r="K123" s="14" t="str">
        <f aca="false">IFERROR(INDEX(코드집!$B:$B,MATCH($J123,코드집!$A:$A,0)),"")</f>
        <v/>
      </c>
      <c r="L123" s="15"/>
      <c r="M123" s="15"/>
    </row>
    <row r="124" customFormat="false" ht="45.75" hidden="false" customHeight="true" outlineLevel="0" collapsed="false">
      <c r="A124" s="12" t="n">
        <v>121</v>
      </c>
      <c r="B124" s="12" t="s">
        <v>68</v>
      </c>
      <c r="C124" s="12" t="s">
        <v>394</v>
      </c>
      <c r="D124" s="12" t="s">
        <v>395</v>
      </c>
      <c r="E124" s="12" t="s">
        <v>396</v>
      </c>
      <c r="F124" s="13"/>
      <c r="G124" s="13"/>
      <c r="H124" s="13"/>
      <c r="I124" s="13"/>
      <c r="J124" s="13"/>
      <c r="K124" s="14" t="str">
        <f aca="false">IFERROR(INDEX(코드집!$B:$B,MATCH($J124,코드집!$A:$A,0)),"")</f>
        <v/>
      </c>
      <c r="L124" s="15"/>
      <c r="M124" s="15"/>
    </row>
    <row r="125" customFormat="false" ht="45.75" hidden="false" customHeight="true" outlineLevel="0" collapsed="false">
      <c r="A125" s="12" t="n">
        <v>122</v>
      </c>
      <c r="B125" s="12" t="s">
        <v>324</v>
      </c>
      <c r="C125" s="12" t="s">
        <v>397</v>
      </c>
      <c r="D125" s="12" t="s">
        <v>398</v>
      </c>
      <c r="E125" s="12" t="s">
        <v>399</v>
      </c>
      <c r="F125" s="13"/>
      <c r="G125" s="13"/>
      <c r="H125" s="13"/>
      <c r="I125" s="13"/>
      <c r="J125" s="13"/>
      <c r="K125" s="14" t="str">
        <f aca="false">IFERROR(INDEX(코드집!$B:$B,MATCH($J125,코드집!$A:$A,0)),"")</f>
        <v/>
      </c>
      <c r="L125" s="15"/>
      <c r="M125" s="15"/>
    </row>
    <row r="126" customFormat="false" ht="45.75" hidden="false" customHeight="true" outlineLevel="0" collapsed="false">
      <c r="A126" s="12" t="n">
        <v>123</v>
      </c>
      <c r="B126" s="12" t="s">
        <v>130</v>
      </c>
      <c r="C126" s="12" t="s">
        <v>400</v>
      </c>
      <c r="D126" s="16" t="s">
        <v>401</v>
      </c>
      <c r="E126" s="16" t="s">
        <v>402</v>
      </c>
      <c r="F126" s="13"/>
      <c r="G126" s="13"/>
      <c r="H126" s="13"/>
      <c r="I126" s="13"/>
      <c r="J126" s="13"/>
      <c r="K126" s="14" t="str">
        <f aca="false">IFERROR(INDEX(코드집!$B:$B,MATCH($J126,코드집!$A:$A,0)),"")</f>
        <v/>
      </c>
      <c r="L126" s="15"/>
      <c r="M126" s="15"/>
    </row>
    <row r="127" customFormat="false" ht="45.75" hidden="false" customHeight="true" outlineLevel="0" collapsed="false">
      <c r="A127" s="12" t="n">
        <v>124</v>
      </c>
      <c r="B127" s="12" t="s">
        <v>48</v>
      </c>
      <c r="C127" s="12" t="s">
        <v>403</v>
      </c>
      <c r="D127" s="12" t="s">
        <v>404</v>
      </c>
      <c r="E127" s="12" t="s">
        <v>405</v>
      </c>
      <c r="F127" s="13"/>
      <c r="G127" s="13"/>
      <c r="H127" s="13"/>
      <c r="I127" s="13"/>
      <c r="J127" s="13"/>
      <c r="K127" s="14" t="str">
        <f aca="false">IFERROR(INDEX(코드집!$B:$B,MATCH($J127,코드집!$A:$A,0)),"")</f>
        <v/>
      </c>
      <c r="L127" s="15"/>
      <c r="M127" s="15"/>
    </row>
    <row r="128" customFormat="false" ht="45.75" hidden="false" customHeight="true" outlineLevel="0" collapsed="false">
      <c r="A128" s="12" t="n">
        <v>125</v>
      </c>
      <c r="B128" s="12" t="s">
        <v>185</v>
      </c>
      <c r="C128" s="12" t="s">
        <v>406</v>
      </c>
      <c r="D128" s="12" t="s">
        <v>407</v>
      </c>
      <c r="E128" s="12" t="s">
        <v>408</v>
      </c>
      <c r="F128" s="13"/>
      <c r="G128" s="13"/>
      <c r="H128" s="13"/>
      <c r="I128" s="13"/>
      <c r="J128" s="13"/>
      <c r="K128" s="14" t="str">
        <f aca="false">IFERROR(INDEX(코드집!$B:$B,MATCH($J128,코드집!$A:$A,0)),"")</f>
        <v/>
      </c>
      <c r="L128" s="15"/>
      <c r="M128" s="15"/>
    </row>
    <row r="129" customFormat="false" ht="45.75" hidden="false" customHeight="true" outlineLevel="0" collapsed="false">
      <c r="A129" s="12" t="n">
        <v>126</v>
      </c>
      <c r="B129" s="12" t="s">
        <v>38</v>
      </c>
      <c r="C129" s="12" t="s">
        <v>409</v>
      </c>
      <c r="D129" s="12" t="s">
        <v>410</v>
      </c>
      <c r="E129" s="12" t="s">
        <v>411</v>
      </c>
      <c r="F129" s="13"/>
      <c r="G129" s="13"/>
      <c r="H129" s="13"/>
      <c r="I129" s="13"/>
      <c r="J129" s="13"/>
      <c r="K129" s="14" t="str">
        <f aca="false">IFERROR(INDEX(코드집!$B:$B,MATCH($J129,코드집!$A:$A,0)),"")</f>
        <v/>
      </c>
      <c r="L129" s="15"/>
      <c r="M129" s="15"/>
    </row>
    <row r="130" customFormat="false" ht="45.75" hidden="false" customHeight="true" outlineLevel="0" collapsed="false">
      <c r="A130" s="12" t="n">
        <v>127</v>
      </c>
      <c r="B130" s="12" t="s">
        <v>58</v>
      </c>
      <c r="C130" s="12" t="s">
        <v>412</v>
      </c>
      <c r="D130" s="12" t="s">
        <v>413</v>
      </c>
      <c r="E130" s="12" t="s">
        <v>414</v>
      </c>
      <c r="F130" s="13"/>
      <c r="G130" s="13"/>
      <c r="H130" s="13"/>
      <c r="I130" s="13"/>
      <c r="J130" s="13"/>
      <c r="K130" s="14" t="str">
        <f aca="false">IFERROR(INDEX(코드집!$B:$B,MATCH($J130,코드집!$A:$A,0)),"")</f>
        <v/>
      </c>
      <c r="L130" s="15"/>
      <c r="M130" s="15"/>
    </row>
    <row r="131" customFormat="false" ht="45.75" hidden="false" customHeight="true" outlineLevel="0" collapsed="false">
      <c r="A131" s="12" t="n">
        <v>128</v>
      </c>
      <c r="B131" s="12" t="s">
        <v>415</v>
      </c>
      <c r="C131" s="12" t="s">
        <v>416</v>
      </c>
      <c r="D131" s="12" t="s">
        <v>417</v>
      </c>
      <c r="E131" s="12" t="s">
        <v>418</v>
      </c>
      <c r="F131" s="13"/>
      <c r="G131" s="13"/>
      <c r="H131" s="13"/>
      <c r="I131" s="13"/>
      <c r="J131" s="13"/>
      <c r="K131" s="14" t="str">
        <f aca="false">IFERROR(INDEX(코드집!$B:$B,MATCH($J131,코드집!$A:$A,0)),"")</f>
        <v/>
      </c>
      <c r="L131" s="15"/>
      <c r="M131" s="15"/>
    </row>
    <row r="132" customFormat="false" ht="45.75" hidden="false" customHeight="true" outlineLevel="0" collapsed="false">
      <c r="A132" s="12" t="n">
        <v>129</v>
      </c>
      <c r="B132" s="12" t="s">
        <v>134</v>
      </c>
      <c r="C132" s="16" t="s">
        <v>419</v>
      </c>
      <c r="D132" s="16" t="s">
        <v>420</v>
      </c>
      <c r="E132" s="12" t="s">
        <v>421</v>
      </c>
      <c r="F132" s="13"/>
      <c r="G132" s="13"/>
      <c r="H132" s="13"/>
      <c r="I132" s="13"/>
      <c r="J132" s="13"/>
      <c r="K132" s="14" t="str">
        <f aca="false">IFERROR(INDEX(코드집!$B:$B,MATCH($J132,코드집!$A:$A,0)),"")</f>
        <v/>
      </c>
      <c r="L132" s="15"/>
      <c r="M132" s="15"/>
    </row>
    <row r="133" customFormat="false" ht="45.75" hidden="false" customHeight="true" outlineLevel="0" collapsed="false">
      <c r="A133" s="12" t="n">
        <v>130</v>
      </c>
      <c r="B133" s="12" t="s">
        <v>60</v>
      </c>
      <c r="C133" s="12" t="s">
        <v>422</v>
      </c>
      <c r="D133" s="12"/>
      <c r="E133" s="12"/>
      <c r="F133" s="13"/>
      <c r="G133" s="13"/>
      <c r="H133" s="13"/>
      <c r="I133" s="13"/>
      <c r="J133" s="13"/>
      <c r="K133" s="14" t="str">
        <f aca="false">IFERROR(INDEX(코드집!$B:$B,MATCH($J133,코드집!$A:$A,0)),"")</f>
        <v/>
      </c>
      <c r="L133" s="15"/>
      <c r="M133" s="15"/>
    </row>
    <row r="134" customFormat="false" ht="45.75" hidden="false" customHeight="true" outlineLevel="0" collapsed="false">
      <c r="A134" s="12" t="n">
        <v>131</v>
      </c>
      <c r="B134" s="12" t="s">
        <v>415</v>
      </c>
      <c r="C134" s="12" t="s">
        <v>423</v>
      </c>
      <c r="D134" s="12"/>
      <c r="E134" s="12"/>
      <c r="F134" s="13"/>
      <c r="G134" s="13"/>
      <c r="H134" s="13"/>
      <c r="I134" s="13"/>
      <c r="J134" s="13"/>
      <c r="K134" s="14" t="str">
        <f aca="false">IFERROR(INDEX(코드집!$B:$B,MATCH($J134,코드집!$A:$A,0)),"")</f>
        <v/>
      </c>
      <c r="L134" s="15"/>
      <c r="M134" s="15"/>
    </row>
    <row r="135" customFormat="false" ht="45.75" hidden="false" customHeight="true" outlineLevel="0" collapsed="false">
      <c r="A135" s="12" t="n">
        <v>132</v>
      </c>
      <c r="B135" s="12" t="s">
        <v>195</v>
      </c>
      <c r="C135" s="12" t="s">
        <v>424</v>
      </c>
      <c r="D135" s="12" t="s">
        <v>425</v>
      </c>
      <c r="E135" s="12" t="s">
        <v>426</v>
      </c>
      <c r="F135" s="13"/>
      <c r="G135" s="13"/>
      <c r="H135" s="13"/>
      <c r="I135" s="13"/>
      <c r="J135" s="13"/>
      <c r="K135" s="14" t="str">
        <f aca="false">IFERROR(INDEX(코드집!$B:$B,MATCH($J135,코드집!$A:$A,0)),"")</f>
        <v/>
      </c>
      <c r="L135" s="15"/>
      <c r="M135" s="15"/>
    </row>
    <row r="136" customFormat="false" ht="45.75" hidden="false" customHeight="true" outlineLevel="0" collapsed="false">
      <c r="A136" s="12" t="n">
        <v>133</v>
      </c>
      <c r="B136" s="12" t="s">
        <v>185</v>
      </c>
      <c r="C136" s="12" t="s">
        <v>427</v>
      </c>
      <c r="D136" s="12"/>
      <c r="E136" s="12"/>
      <c r="F136" s="13"/>
      <c r="G136" s="13"/>
      <c r="H136" s="13"/>
      <c r="I136" s="13"/>
      <c r="J136" s="13"/>
      <c r="K136" s="14" t="str">
        <f aca="false">IFERROR(INDEX(코드집!$B:$B,MATCH($J136,코드집!$A:$A,0)),"")</f>
        <v/>
      </c>
      <c r="L136" s="15"/>
      <c r="M136" s="15"/>
    </row>
    <row r="137" customFormat="false" ht="45.75" hidden="false" customHeight="true" outlineLevel="0" collapsed="false">
      <c r="A137" s="12" t="n">
        <v>134</v>
      </c>
      <c r="B137" s="12" t="s">
        <v>195</v>
      </c>
      <c r="C137" s="12" t="s">
        <v>428</v>
      </c>
      <c r="D137" s="12" t="s">
        <v>429</v>
      </c>
      <c r="E137" s="12" t="s">
        <v>430</v>
      </c>
      <c r="F137" s="13"/>
      <c r="G137" s="13"/>
      <c r="H137" s="13"/>
      <c r="I137" s="13"/>
      <c r="J137" s="13"/>
      <c r="K137" s="14" t="str">
        <f aca="false">IFERROR(INDEX(코드집!$B:$B,MATCH($J137,코드집!$A:$A,0)),"")</f>
        <v/>
      </c>
      <c r="L137" s="15"/>
      <c r="M137" s="15"/>
    </row>
    <row r="138" customFormat="false" ht="45.75" hidden="false" customHeight="true" outlineLevel="0" collapsed="false">
      <c r="A138" s="12" t="n">
        <v>135</v>
      </c>
      <c r="B138" s="12" t="s">
        <v>58</v>
      </c>
      <c r="C138" s="12" t="s">
        <v>431</v>
      </c>
      <c r="D138" s="12" t="s">
        <v>432</v>
      </c>
      <c r="E138" s="12" t="s">
        <v>433</v>
      </c>
      <c r="F138" s="13"/>
      <c r="G138" s="13"/>
      <c r="H138" s="13"/>
      <c r="I138" s="13"/>
      <c r="J138" s="13"/>
      <c r="K138" s="14" t="str">
        <f aca="false">IFERROR(INDEX(코드집!$B:$B,MATCH($J138,코드집!$A:$A,0)),"")</f>
        <v/>
      </c>
      <c r="L138" s="15"/>
      <c r="M138" s="15"/>
    </row>
    <row r="139" customFormat="false" ht="45.75" hidden="false" customHeight="true" outlineLevel="0" collapsed="false">
      <c r="A139" s="12" t="n">
        <v>136</v>
      </c>
      <c r="B139" s="12" t="s">
        <v>160</v>
      </c>
      <c r="C139" s="16" t="s">
        <v>434</v>
      </c>
      <c r="D139" s="12" t="s">
        <v>435</v>
      </c>
      <c r="E139" s="12" t="s">
        <v>436</v>
      </c>
      <c r="F139" s="13"/>
      <c r="G139" s="13"/>
      <c r="H139" s="13"/>
      <c r="I139" s="13"/>
      <c r="J139" s="13"/>
      <c r="K139" s="14" t="str">
        <f aca="false">IFERROR(INDEX(코드집!$B:$B,MATCH($J139,코드집!$A:$A,0)),"")</f>
        <v/>
      </c>
      <c r="L139" s="15"/>
      <c r="M139" s="15"/>
    </row>
    <row r="140" customFormat="false" ht="45.75" hidden="false" customHeight="true" outlineLevel="0" collapsed="false">
      <c r="A140" s="12" t="n">
        <v>137</v>
      </c>
      <c r="B140" s="12" t="s">
        <v>98</v>
      </c>
      <c r="C140" s="12" t="s">
        <v>437</v>
      </c>
      <c r="D140" s="12"/>
      <c r="E140" s="12"/>
      <c r="F140" s="13"/>
      <c r="G140" s="13"/>
      <c r="H140" s="13"/>
      <c r="I140" s="13"/>
      <c r="J140" s="13"/>
      <c r="K140" s="14" t="str">
        <f aca="false">IFERROR(INDEX(코드집!$B:$B,MATCH($J140,코드집!$A:$A,0)),"")</f>
        <v/>
      </c>
      <c r="L140" s="15"/>
      <c r="M140" s="15"/>
    </row>
    <row r="141" customFormat="false" ht="45.75" hidden="false" customHeight="true" outlineLevel="0" collapsed="false">
      <c r="A141" s="12" t="n">
        <v>138</v>
      </c>
      <c r="B141" s="12" t="s">
        <v>120</v>
      </c>
      <c r="C141" s="16" t="s">
        <v>438</v>
      </c>
      <c r="D141" s="12" t="s">
        <v>439</v>
      </c>
      <c r="E141" s="16" t="s">
        <v>440</v>
      </c>
      <c r="F141" s="13"/>
      <c r="G141" s="13"/>
      <c r="H141" s="13"/>
      <c r="I141" s="13"/>
      <c r="J141" s="13"/>
      <c r="K141" s="14" t="str">
        <f aca="false">IFERROR(INDEX(코드집!$B:$B,MATCH($J141,코드집!$A:$A,0)),"")</f>
        <v/>
      </c>
      <c r="L141" s="15"/>
      <c r="M141" s="15"/>
    </row>
    <row r="142" customFormat="false" ht="45.75" hidden="false" customHeight="true" outlineLevel="0" collapsed="false">
      <c r="A142" s="12" t="n">
        <v>139</v>
      </c>
      <c r="B142" s="12" t="s">
        <v>248</v>
      </c>
      <c r="C142" s="12" t="s">
        <v>441</v>
      </c>
      <c r="D142" s="12" t="s">
        <v>193</v>
      </c>
      <c r="E142" s="12"/>
      <c r="F142" s="13"/>
      <c r="G142" s="13"/>
      <c r="H142" s="13"/>
      <c r="I142" s="13"/>
      <c r="J142" s="13"/>
      <c r="K142" s="14" t="str">
        <f aca="false">IFERROR(INDEX(코드집!$B:$B,MATCH($J142,코드집!$A:$A,0)),"")</f>
        <v/>
      </c>
      <c r="L142" s="15"/>
      <c r="M142" s="15"/>
    </row>
    <row r="143" customFormat="false" ht="45.75" hidden="false" customHeight="true" outlineLevel="0" collapsed="false">
      <c r="A143" s="12" t="n">
        <v>140</v>
      </c>
      <c r="B143" s="12" t="s">
        <v>324</v>
      </c>
      <c r="C143" s="12" t="s">
        <v>442</v>
      </c>
      <c r="D143" s="12" t="s">
        <v>443</v>
      </c>
      <c r="E143" s="12" t="s">
        <v>444</v>
      </c>
      <c r="F143" s="13"/>
      <c r="G143" s="13"/>
      <c r="H143" s="13"/>
      <c r="I143" s="13"/>
      <c r="J143" s="13"/>
      <c r="K143" s="14" t="str">
        <f aca="false">IFERROR(INDEX(코드집!$B:$B,MATCH($J143,코드집!$A:$A,0)),"")</f>
        <v/>
      </c>
      <c r="L143" s="15"/>
      <c r="M143" s="15"/>
    </row>
    <row r="144" customFormat="false" ht="45.75" hidden="false" customHeight="true" outlineLevel="0" collapsed="false">
      <c r="A144" s="12" t="n">
        <v>141</v>
      </c>
      <c r="B144" s="12" t="s">
        <v>130</v>
      </c>
      <c r="C144" s="12" t="s">
        <v>445</v>
      </c>
      <c r="D144" s="12" t="s">
        <v>446</v>
      </c>
      <c r="E144" s="12" t="s">
        <v>447</v>
      </c>
      <c r="F144" s="13"/>
      <c r="G144" s="13"/>
      <c r="H144" s="13"/>
      <c r="I144" s="13"/>
      <c r="J144" s="13"/>
      <c r="K144" s="14" t="str">
        <f aca="false">IFERROR(INDEX(코드집!$B:$B,MATCH($J144,코드집!$A:$A,0)),"")</f>
        <v/>
      </c>
      <c r="L144" s="15"/>
      <c r="M144" s="15"/>
    </row>
    <row r="145" customFormat="false" ht="45.75" hidden="false" customHeight="true" outlineLevel="0" collapsed="false">
      <c r="A145" s="12" t="n">
        <v>142</v>
      </c>
      <c r="B145" s="12" t="s">
        <v>181</v>
      </c>
      <c r="C145" s="12" t="s">
        <v>448</v>
      </c>
      <c r="D145" s="12" t="s">
        <v>449</v>
      </c>
      <c r="E145" s="12" t="s">
        <v>450</v>
      </c>
      <c r="F145" s="13"/>
      <c r="G145" s="13"/>
      <c r="H145" s="13"/>
      <c r="I145" s="13"/>
      <c r="J145" s="13"/>
      <c r="K145" s="14" t="str">
        <f aca="false">IFERROR(INDEX(코드집!$B:$B,MATCH($J145,코드집!$A:$A,0)),"")</f>
        <v/>
      </c>
      <c r="L145" s="15"/>
      <c r="M145" s="15"/>
    </row>
    <row r="146" customFormat="false" ht="45.75" hidden="false" customHeight="true" outlineLevel="0" collapsed="false">
      <c r="A146" s="12" t="n">
        <v>143</v>
      </c>
      <c r="B146" s="12" t="s">
        <v>98</v>
      </c>
      <c r="C146" s="12" t="s">
        <v>451</v>
      </c>
      <c r="D146" s="12" t="s">
        <v>452</v>
      </c>
      <c r="E146" s="12" t="s">
        <v>453</v>
      </c>
      <c r="F146" s="13"/>
      <c r="G146" s="13"/>
      <c r="H146" s="13"/>
      <c r="I146" s="13"/>
      <c r="J146" s="13"/>
      <c r="K146" s="14" t="str">
        <f aca="false">IFERROR(INDEX(코드집!$B:$B,MATCH($J146,코드집!$A:$A,0)),"")</f>
        <v/>
      </c>
      <c r="L146" s="15"/>
      <c r="M146" s="15"/>
    </row>
    <row r="147" customFormat="false" ht="45.75" hidden="false" customHeight="true" outlineLevel="0" collapsed="false">
      <c r="A147" s="12" t="n">
        <v>144</v>
      </c>
      <c r="B147" s="12" t="s">
        <v>156</v>
      </c>
      <c r="C147" s="12" t="s">
        <v>454</v>
      </c>
      <c r="D147" s="12"/>
      <c r="E147" s="12"/>
      <c r="F147" s="13"/>
      <c r="G147" s="13"/>
      <c r="H147" s="13"/>
      <c r="I147" s="13"/>
      <c r="J147" s="13"/>
      <c r="K147" s="14" t="str">
        <f aca="false">IFERROR(INDEX(코드집!$B:$B,MATCH($J147,코드집!$A:$A,0)),"")</f>
        <v/>
      </c>
      <c r="L147" s="15"/>
      <c r="M147" s="15"/>
    </row>
    <row r="148" customFormat="false" ht="45.75" hidden="false" customHeight="true" outlineLevel="0" collapsed="false">
      <c r="A148" s="12" t="n">
        <v>145</v>
      </c>
      <c r="B148" s="12" t="s">
        <v>145</v>
      </c>
      <c r="C148" s="12" t="s">
        <v>455</v>
      </c>
      <c r="D148" s="12" t="s">
        <v>456</v>
      </c>
      <c r="E148" s="12" t="s">
        <v>457</v>
      </c>
      <c r="F148" s="13"/>
      <c r="G148" s="13"/>
      <c r="H148" s="13"/>
      <c r="I148" s="13"/>
      <c r="J148" s="13"/>
      <c r="K148" s="14" t="str">
        <f aca="false">IFERROR(INDEX(코드집!$B:$B,MATCH($J148,코드집!$A:$A,0)),"")</f>
        <v/>
      </c>
      <c r="L148" s="15"/>
      <c r="M148" s="15"/>
    </row>
    <row r="149" customFormat="false" ht="45.75" hidden="false" customHeight="true" outlineLevel="0" collapsed="false">
      <c r="A149" s="12" t="n">
        <v>146</v>
      </c>
      <c r="B149" s="12" t="s">
        <v>48</v>
      </c>
      <c r="C149" s="16" t="s">
        <v>458</v>
      </c>
      <c r="D149" s="12" t="s">
        <v>459</v>
      </c>
      <c r="E149" s="16" t="s">
        <v>460</v>
      </c>
      <c r="F149" s="13"/>
      <c r="G149" s="13"/>
      <c r="H149" s="13"/>
      <c r="I149" s="13"/>
      <c r="J149" s="13"/>
      <c r="K149" s="14" t="str">
        <f aca="false">IFERROR(INDEX(코드집!$B:$B,MATCH($J149,코드집!$A:$A,0)),"")</f>
        <v/>
      </c>
      <c r="L149" s="15"/>
      <c r="M149" s="15"/>
    </row>
    <row r="150" customFormat="false" ht="45.75" hidden="false" customHeight="true" outlineLevel="0" collapsed="false">
      <c r="A150" s="12" t="n">
        <v>147</v>
      </c>
      <c r="B150" s="12" t="s">
        <v>52</v>
      </c>
      <c r="C150" s="12" t="s">
        <v>461</v>
      </c>
      <c r="D150" s="12" t="s">
        <v>462</v>
      </c>
      <c r="E150" s="12" t="s">
        <v>463</v>
      </c>
      <c r="F150" s="13"/>
      <c r="G150" s="13"/>
      <c r="H150" s="13"/>
      <c r="I150" s="13"/>
      <c r="J150" s="13"/>
      <c r="K150" s="14" t="str">
        <f aca="false">IFERROR(INDEX(코드집!$B:$B,MATCH($J150,코드집!$A:$A,0)),"")</f>
        <v/>
      </c>
      <c r="L150" s="15"/>
      <c r="M150" s="15"/>
    </row>
    <row r="151" customFormat="false" ht="45.75" hidden="false" customHeight="true" outlineLevel="0" collapsed="false">
      <c r="A151" s="12" t="n">
        <v>148</v>
      </c>
      <c r="B151" s="12" t="s">
        <v>91</v>
      </c>
      <c r="C151" s="12" t="s">
        <v>464</v>
      </c>
      <c r="D151" s="12" t="s">
        <v>465</v>
      </c>
      <c r="E151" s="12" t="s">
        <v>466</v>
      </c>
      <c r="F151" s="13"/>
      <c r="G151" s="13"/>
      <c r="H151" s="13"/>
      <c r="I151" s="13"/>
      <c r="J151" s="13"/>
      <c r="K151" s="14" t="str">
        <f aca="false">IFERROR(INDEX(코드집!$B:$B,MATCH($J151,코드집!$A:$A,0)),"")</f>
        <v/>
      </c>
      <c r="L151" s="15"/>
      <c r="M151" s="15"/>
    </row>
    <row r="152" customFormat="false" ht="45.75" hidden="false" customHeight="true" outlineLevel="0" collapsed="false">
      <c r="A152" s="12" t="n">
        <v>149</v>
      </c>
      <c r="B152" s="12" t="s">
        <v>108</v>
      </c>
      <c r="C152" s="12" t="s">
        <v>467</v>
      </c>
      <c r="D152" s="12" t="s">
        <v>468</v>
      </c>
      <c r="E152" s="12" t="s">
        <v>469</v>
      </c>
      <c r="F152" s="13"/>
      <c r="G152" s="13"/>
      <c r="H152" s="13"/>
      <c r="I152" s="13"/>
      <c r="J152" s="13"/>
      <c r="K152" s="14" t="str">
        <f aca="false">IFERROR(INDEX(코드집!$B:$B,MATCH($J152,코드집!$A:$A,0)),"")</f>
        <v/>
      </c>
      <c r="L152" s="15"/>
      <c r="M152" s="15"/>
    </row>
    <row r="153" customFormat="false" ht="45.75" hidden="false" customHeight="true" outlineLevel="0" collapsed="false">
      <c r="A153" s="12" t="n">
        <v>150</v>
      </c>
      <c r="B153" s="12" t="s">
        <v>287</v>
      </c>
      <c r="C153" s="12" t="s">
        <v>470</v>
      </c>
      <c r="D153" s="12" t="s">
        <v>471</v>
      </c>
      <c r="E153" s="12" t="s">
        <v>472</v>
      </c>
      <c r="F153" s="13"/>
      <c r="G153" s="13"/>
      <c r="H153" s="13"/>
      <c r="I153" s="13"/>
      <c r="J153" s="13"/>
      <c r="K153" s="14" t="str">
        <f aca="false">IFERROR(INDEX(코드집!$B:$B,MATCH($J153,코드집!$A:$A,0)),"")</f>
        <v/>
      </c>
      <c r="L153" s="15"/>
      <c r="M153" s="15"/>
    </row>
    <row r="154" customFormat="false" ht="45.75" hidden="false" customHeight="true" outlineLevel="0" collapsed="false">
      <c r="A154" s="12" t="n">
        <v>151</v>
      </c>
      <c r="B154" s="12" t="s">
        <v>68</v>
      </c>
      <c r="C154" s="12" t="s">
        <v>473</v>
      </c>
      <c r="D154" s="12" t="s">
        <v>474</v>
      </c>
      <c r="E154" s="12" t="s">
        <v>475</v>
      </c>
      <c r="F154" s="13"/>
      <c r="G154" s="13"/>
      <c r="H154" s="13"/>
      <c r="I154" s="13"/>
      <c r="J154" s="13"/>
      <c r="K154" s="14" t="str">
        <f aca="false">IFERROR(INDEX(코드집!$B:$B,MATCH($J154,코드집!$A:$A,0)),"")</f>
        <v/>
      </c>
      <c r="L154" s="15"/>
      <c r="M154" s="15"/>
    </row>
    <row r="155" customFormat="false" ht="45.75" hidden="false" customHeight="true" outlineLevel="0" collapsed="false">
      <c r="A155" s="12" t="n">
        <v>152</v>
      </c>
      <c r="B155" s="12" t="s">
        <v>78</v>
      </c>
      <c r="C155" s="12" t="s">
        <v>476</v>
      </c>
      <c r="D155" s="16" t="s">
        <v>477</v>
      </c>
      <c r="E155" s="16" t="s">
        <v>478</v>
      </c>
      <c r="F155" s="13"/>
      <c r="G155" s="13"/>
      <c r="H155" s="13"/>
      <c r="I155" s="13"/>
      <c r="J155" s="13"/>
      <c r="K155" s="14" t="str">
        <f aca="false">IFERROR(INDEX(코드집!$B:$B,MATCH($J155,코드집!$A:$A,0)),"")</f>
        <v/>
      </c>
      <c r="L155" s="15"/>
      <c r="M155" s="15"/>
    </row>
    <row r="156" customFormat="false" ht="45.75" hidden="false" customHeight="true" outlineLevel="0" collapsed="false">
      <c r="A156" s="12" t="n">
        <v>153</v>
      </c>
      <c r="B156" s="12" t="s">
        <v>415</v>
      </c>
      <c r="C156" s="12" t="s">
        <v>479</v>
      </c>
      <c r="D156" s="12"/>
      <c r="E156" s="12"/>
      <c r="F156" s="13"/>
      <c r="G156" s="13"/>
      <c r="H156" s="13"/>
      <c r="I156" s="13"/>
      <c r="J156" s="13"/>
      <c r="K156" s="14" t="str">
        <f aca="false">IFERROR(INDEX(코드집!$B:$B,MATCH($J156,코드집!$A:$A,0)),"")</f>
        <v/>
      </c>
      <c r="L156" s="15"/>
      <c r="M156" s="15"/>
    </row>
    <row r="157" customFormat="false" ht="45.75" hidden="false" customHeight="true" outlineLevel="0" collapsed="false">
      <c r="A157" s="12" t="n">
        <v>154</v>
      </c>
      <c r="B157" s="12" t="s">
        <v>38</v>
      </c>
      <c r="C157" s="12" t="s">
        <v>480</v>
      </c>
      <c r="D157" s="12"/>
      <c r="E157" s="12"/>
      <c r="F157" s="13"/>
      <c r="G157" s="13"/>
      <c r="H157" s="13"/>
      <c r="I157" s="13"/>
      <c r="J157" s="13"/>
      <c r="K157" s="14" t="str">
        <f aca="false">IFERROR(INDEX(코드집!$B:$B,MATCH($J157,코드집!$A:$A,0)),"")</f>
        <v/>
      </c>
      <c r="L157" s="15"/>
      <c r="M157" s="15"/>
    </row>
    <row r="158" customFormat="false" ht="45.75" hidden="false" customHeight="true" outlineLevel="0" collapsed="false">
      <c r="A158" s="12" t="n">
        <v>155</v>
      </c>
      <c r="B158" s="12" t="s">
        <v>185</v>
      </c>
      <c r="C158" s="12" t="s">
        <v>481</v>
      </c>
      <c r="D158" s="12" t="s">
        <v>482</v>
      </c>
      <c r="E158" s="12" t="s">
        <v>483</v>
      </c>
      <c r="F158" s="13"/>
      <c r="G158" s="13"/>
      <c r="H158" s="13"/>
      <c r="I158" s="13"/>
      <c r="J158" s="13"/>
      <c r="K158" s="14" t="str">
        <f aca="false">IFERROR(INDEX(코드집!$B:$B,MATCH($J158,코드집!$A:$A,0)),"")</f>
        <v/>
      </c>
      <c r="L158" s="15"/>
      <c r="M158" s="15"/>
    </row>
    <row r="159" customFormat="false" ht="45.75" hidden="false" customHeight="true" outlineLevel="0" collapsed="false">
      <c r="A159" s="12" t="n">
        <v>156</v>
      </c>
      <c r="B159" s="12" t="s">
        <v>160</v>
      </c>
      <c r="C159" s="12" t="s">
        <v>484</v>
      </c>
      <c r="D159" s="12"/>
      <c r="E159" s="12"/>
      <c r="F159" s="13"/>
      <c r="G159" s="13"/>
      <c r="H159" s="13"/>
      <c r="I159" s="13"/>
      <c r="J159" s="13"/>
      <c r="K159" s="14" t="str">
        <f aca="false">IFERROR(INDEX(코드집!$B:$B,MATCH($J159,코드집!$A:$A,0)),"")</f>
        <v/>
      </c>
      <c r="L159" s="15"/>
      <c r="M159" s="15"/>
    </row>
    <row r="160" customFormat="false" ht="45.75" hidden="false" customHeight="true" outlineLevel="0" collapsed="false">
      <c r="A160" s="12" t="n">
        <v>157</v>
      </c>
      <c r="B160" s="12" t="s">
        <v>58</v>
      </c>
      <c r="C160" s="12" t="s">
        <v>485</v>
      </c>
      <c r="D160" s="12" t="s">
        <v>486</v>
      </c>
      <c r="E160" s="12" t="s">
        <v>487</v>
      </c>
      <c r="F160" s="13"/>
      <c r="G160" s="13"/>
      <c r="H160" s="13"/>
      <c r="I160" s="13"/>
      <c r="J160" s="13"/>
      <c r="K160" s="14" t="str">
        <f aca="false">IFERROR(INDEX(코드집!$B:$B,MATCH($J160,코드집!$A:$A,0)),"")</f>
        <v/>
      </c>
      <c r="L160" s="15"/>
      <c r="M160" s="15"/>
    </row>
    <row r="161" customFormat="false" ht="45.75" hidden="false" customHeight="true" outlineLevel="0" collapsed="false">
      <c r="A161" s="12" t="n">
        <v>158</v>
      </c>
      <c r="B161" s="12" t="s">
        <v>189</v>
      </c>
      <c r="C161" s="12" t="s">
        <v>488</v>
      </c>
      <c r="D161" s="12"/>
      <c r="E161" s="12"/>
      <c r="F161" s="13"/>
      <c r="G161" s="13"/>
      <c r="H161" s="13"/>
      <c r="I161" s="13"/>
      <c r="J161" s="13"/>
      <c r="K161" s="14" t="str">
        <f aca="false">IFERROR(INDEX(코드집!$B:$B,MATCH($J161,코드집!$A:$A,0)),"")</f>
        <v/>
      </c>
      <c r="L161" s="15"/>
      <c r="M161" s="15"/>
    </row>
    <row r="162" customFormat="false" ht="45.75" hidden="false" customHeight="true" outlineLevel="0" collapsed="false">
      <c r="A162" s="12" t="n">
        <v>159</v>
      </c>
      <c r="B162" s="12" t="s">
        <v>38</v>
      </c>
      <c r="C162" s="12" t="s">
        <v>489</v>
      </c>
      <c r="D162" s="12" t="s">
        <v>490</v>
      </c>
      <c r="E162" s="12" t="s">
        <v>491</v>
      </c>
      <c r="F162" s="13"/>
      <c r="G162" s="13"/>
      <c r="H162" s="13"/>
      <c r="I162" s="13"/>
      <c r="J162" s="13"/>
      <c r="K162" s="14" t="str">
        <f aca="false">IFERROR(INDEX(코드집!$B:$B,MATCH($J162,코드집!$A:$A,0)),"")</f>
        <v/>
      </c>
      <c r="L162" s="15"/>
      <c r="M162" s="15"/>
    </row>
    <row r="163" customFormat="false" ht="45.75" hidden="false" customHeight="true" outlineLevel="0" collapsed="false">
      <c r="A163" s="12" t="n">
        <v>160</v>
      </c>
      <c r="B163" s="12" t="s">
        <v>55</v>
      </c>
      <c r="C163" s="16" t="s">
        <v>492</v>
      </c>
      <c r="D163" s="12"/>
      <c r="E163" s="12"/>
      <c r="F163" s="13"/>
      <c r="G163" s="13"/>
      <c r="H163" s="13"/>
      <c r="I163" s="13"/>
      <c r="J163" s="13"/>
      <c r="K163" s="14" t="str">
        <f aca="false">IFERROR(INDEX(코드집!$B:$B,MATCH($J163,코드집!$A:$A,0)),"")</f>
        <v/>
      </c>
      <c r="L163" s="15"/>
      <c r="M163" s="15"/>
    </row>
    <row r="164" customFormat="false" ht="45.75" hidden="false" customHeight="true" outlineLevel="0" collapsed="false">
      <c r="A164" s="12" t="n">
        <v>161</v>
      </c>
      <c r="B164" s="12" t="s">
        <v>52</v>
      </c>
      <c r="C164" s="12" t="s">
        <v>493</v>
      </c>
      <c r="D164" s="12" t="s">
        <v>494</v>
      </c>
      <c r="E164" s="12" t="s">
        <v>495</v>
      </c>
      <c r="F164" s="13"/>
      <c r="G164" s="13"/>
      <c r="H164" s="13"/>
      <c r="I164" s="13"/>
      <c r="J164" s="13"/>
      <c r="K164" s="14" t="str">
        <f aca="false">IFERROR(INDEX(코드집!$B:$B,MATCH($J164,코드집!$A:$A,0)),"")</f>
        <v/>
      </c>
      <c r="L164" s="15"/>
      <c r="M164" s="15"/>
    </row>
    <row r="165" customFormat="false" ht="45.75" hidden="false" customHeight="true" outlineLevel="0" collapsed="false">
      <c r="A165" s="12" t="n">
        <v>162</v>
      </c>
      <c r="B165" s="12" t="s">
        <v>134</v>
      </c>
      <c r="C165" s="12" t="s">
        <v>496</v>
      </c>
      <c r="D165" s="12" t="s">
        <v>497</v>
      </c>
      <c r="E165" s="12" t="s">
        <v>498</v>
      </c>
      <c r="F165" s="13"/>
      <c r="G165" s="13"/>
      <c r="H165" s="13"/>
      <c r="I165" s="13"/>
      <c r="J165" s="13"/>
      <c r="K165" s="14" t="str">
        <f aca="false">IFERROR(INDEX(코드집!$B:$B,MATCH($J165,코드집!$A:$A,0)),"")</f>
        <v/>
      </c>
      <c r="L165" s="15"/>
      <c r="M165" s="15"/>
    </row>
    <row r="166" customFormat="false" ht="45.75" hidden="false" customHeight="true" outlineLevel="0" collapsed="false">
      <c r="A166" s="12" t="n">
        <v>163</v>
      </c>
      <c r="B166" s="12" t="s">
        <v>141</v>
      </c>
      <c r="C166" s="12" t="s">
        <v>499</v>
      </c>
      <c r="D166" s="12" t="s">
        <v>500</v>
      </c>
      <c r="E166" s="12" t="s">
        <v>501</v>
      </c>
      <c r="F166" s="13"/>
      <c r="G166" s="13"/>
      <c r="H166" s="13"/>
      <c r="I166" s="13"/>
      <c r="J166" s="13"/>
      <c r="K166" s="14" t="str">
        <f aca="false">IFERROR(INDEX(코드집!$B:$B,MATCH($J166,코드집!$A:$A,0)),"")</f>
        <v/>
      </c>
      <c r="L166" s="15"/>
      <c r="M166" s="15"/>
    </row>
    <row r="167" customFormat="false" ht="45.75" hidden="false" customHeight="true" outlineLevel="0" collapsed="false">
      <c r="A167" s="12" t="n">
        <v>164</v>
      </c>
      <c r="B167" s="12" t="s">
        <v>64</v>
      </c>
      <c r="C167" s="12" t="s">
        <v>502</v>
      </c>
      <c r="D167" s="12" t="s">
        <v>503</v>
      </c>
      <c r="E167" s="12" t="s">
        <v>504</v>
      </c>
      <c r="F167" s="13"/>
      <c r="G167" s="13"/>
      <c r="H167" s="13"/>
      <c r="I167" s="13"/>
      <c r="J167" s="13"/>
      <c r="K167" s="14" t="str">
        <f aca="false">IFERROR(INDEX(코드집!$B:$B,MATCH($J167,코드집!$A:$A,0)),"")</f>
        <v/>
      </c>
      <c r="L167" s="15"/>
      <c r="M167" s="15"/>
    </row>
    <row r="168" customFormat="false" ht="45.75" hidden="false" customHeight="true" outlineLevel="0" collapsed="false">
      <c r="A168" s="12" t="n">
        <v>165</v>
      </c>
      <c r="B168" s="12" t="s">
        <v>177</v>
      </c>
      <c r="C168" s="12" t="s">
        <v>505</v>
      </c>
      <c r="D168" s="12" t="s">
        <v>506</v>
      </c>
      <c r="E168" s="12" t="s">
        <v>507</v>
      </c>
      <c r="F168" s="13"/>
      <c r="G168" s="13"/>
      <c r="H168" s="13"/>
      <c r="I168" s="13"/>
      <c r="J168" s="13"/>
      <c r="K168" s="14" t="str">
        <f aca="false">IFERROR(INDEX(코드집!$B:$B,MATCH($J168,코드집!$A:$A,0)),"")</f>
        <v/>
      </c>
      <c r="L168" s="15"/>
      <c r="M168" s="15"/>
    </row>
    <row r="169" customFormat="false" ht="45.75" hidden="false" customHeight="true" outlineLevel="0" collapsed="false">
      <c r="A169" s="12" t="n">
        <v>166</v>
      </c>
      <c r="B169" s="12" t="s">
        <v>145</v>
      </c>
      <c r="C169" s="12" t="s">
        <v>508</v>
      </c>
      <c r="D169" s="12" t="s">
        <v>509</v>
      </c>
      <c r="E169" s="12" t="s">
        <v>510</v>
      </c>
      <c r="F169" s="13"/>
      <c r="G169" s="13"/>
      <c r="H169" s="13"/>
      <c r="I169" s="13"/>
      <c r="J169" s="13"/>
      <c r="K169" s="14" t="str">
        <f aca="false">IFERROR(INDEX(코드집!$B:$B,MATCH($J169,코드집!$A:$A,0)),"")</f>
        <v/>
      </c>
      <c r="L169" s="15"/>
      <c r="M169" s="15"/>
    </row>
    <row r="170" customFormat="false" ht="45.75" hidden="false" customHeight="true" outlineLevel="0" collapsed="false">
      <c r="A170" s="12" t="n">
        <v>167</v>
      </c>
      <c r="B170" s="12" t="s">
        <v>60</v>
      </c>
      <c r="C170" s="12" t="s">
        <v>511</v>
      </c>
      <c r="D170" s="12" t="s">
        <v>512</v>
      </c>
      <c r="E170" s="12" t="s">
        <v>513</v>
      </c>
      <c r="F170" s="13"/>
      <c r="G170" s="13"/>
      <c r="H170" s="13"/>
      <c r="I170" s="13"/>
      <c r="J170" s="13"/>
      <c r="K170" s="14" t="str">
        <f aca="false">IFERROR(INDEX(코드집!$B:$B,MATCH($J170,코드집!$A:$A,0)),"")</f>
        <v/>
      </c>
      <c r="L170" s="15"/>
      <c r="M170" s="15"/>
    </row>
    <row r="171" customFormat="false" ht="45.75" hidden="false" customHeight="true" outlineLevel="0" collapsed="false">
      <c r="A171" s="12" t="n">
        <v>168</v>
      </c>
      <c r="B171" s="12" t="s">
        <v>248</v>
      </c>
      <c r="C171" s="12" t="s">
        <v>514</v>
      </c>
      <c r="D171" s="12" t="s">
        <v>515</v>
      </c>
      <c r="E171" s="12" t="s">
        <v>516</v>
      </c>
      <c r="F171" s="13"/>
      <c r="G171" s="13"/>
      <c r="H171" s="13"/>
      <c r="I171" s="13"/>
      <c r="J171" s="13"/>
      <c r="K171" s="14" t="str">
        <f aca="false">IFERROR(INDEX(코드집!$B:$B,MATCH($J171,코드집!$A:$A,0)),"")</f>
        <v/>
      </c>
      <c r="L171" s="15"/>
      <c r="M171" s="15"/>
    </row>
    <row r="172" customFormat="false" ht="45.75" hidden="false" customHeight="true" outlineLevel="0" collapsed="false">
      <c r="A172" s="12" t="n">
        <v>169</v>
      </c>
      <c r="B172" s="12" t="s">
        <v>38</v>
      </c>
      <c r="C172" s="12" t="s">
        <v>517</v>
      </c>
      <c r="D172" s="12" t="s">
        <v>518</v>
      </c>
      <c r="E172" s="12" t="s">
        <v>519</v>
      </c>
      <c r="F172" s="13"/>
      <c r="G172" s="13"/>
      <c r="H172" s="13"/>
      <c r="I172" s="13"/>
      <c r="J172" s="13"/>
      <c r="K172" s="14" t="str">
        <f aca="false">IFERROR(INDEX(코드집!$B:$B,MATCH($J172,코드집!$A:$A,0)),"")</f>
        <v/>
      </c>
      <c r="L172" s="15"/>
      <c r="M172" s="15"/>
    </row>
    <row r="173" customFormat="false" ht="45.75" hidden="false" customHeight="true" outlineLevel="0" collapsed="false">
      <c r="A173" s="12" t="n">
        <v>170</v>
      </c>
      <c r="B173" s="12" t="s">
        <v>195</v>
      </c>
      <c r="C173" s="12" t="s">
        <v>520</v>
      </c>
      <c r="D173" s="12" t="s">
        <v>521</v>
      </c>
      <c r="E173" s="12"/>
      <c r="F173" s="13"/>
      <c r="G173" s="13"/>
      <c r="H173" s="13"/>
      <c r="I173" s="13"/>
      <c r="J173" s="13"/>
      <c r="K173" s="14" t="str">
        <f aca="false">IFERROR(INDEX(코드집!$B:$B,MATCH($J173,코드집!$A:$A,0)),"")</f>
        <v/>
      </c>
      <c r="L173" s="15"/>
      <c r="M173" s="15"/>
    </row>
    <row r="174" customFormat="false" ht="45.75" hidden="false" customHeight="true" outlineLevel="0" collapsed="false">
      <c r="A174" s="12" t="n">
        <v>171</v>
      </c>
      <c r="B174" s="12" t="s">
        <v>177</v>
      </c>
      <c r="C174" s="12" t="s">
        <v>522</v>
      </c>
      <c r="D174" s="12"/>
      <c r="E174" s="12"/>
      <c r="F174" s="13"/>
      <c r="G174" s="13"/>
      <c r="H174" s="13"/>
      <c r="I174" s="13"/>
      <c r="J174" s="13"/>
      <c r="K174" s="14" t="str">
        <f aca="false">IFERROR(INDEX(코드집!$B:$B,MATCH($J174,코드집!$A:$A,0)),"")</f>
        <v/>
      </c>
      <c r="L174" s="15"/>
      <c r="M174" s="15"/>
    </row>
    <row r="175" customFormat="false" ht="45.75" hidden="false" customHeight="true" outlineLevel="0" collapsed="false">
      <c r="A175" s="12" t="n">
        <v>172</v>
      </c>
      <c r="B175" s="12" t="s">
        <v>248</v>
      </c>
      <c r="C175" s="16" t="s">
        <v>523</v>
      </c>
      <c r="D175" s="16" t="s">
        <v>524</v>
      </c>
      <c r="E175" s="16" t="s">
        <v>525</v>
      </c>
      <c r="F175" s="13"/>
      <c r="G175" s="13"/>
      <c r="H175" s="13"/>
      <c r="I175" s="13"/>
      <c r="J175" s="13"/>
      <c r="K175" s="14" t="str">
        <f aca="false">IFERROR(INDEX(코드집!$B:$B,MATCH($J175,코드집!$A:$A,0)),"")</f>
        <v/>
      </c>
      <c r="L175" s="15"/>
      <c r="M175" s="15"/>
    </row>
    <row r="176" customFormat="false" ht="45.75" hidden="false" customHeight="true" outlineLevel="0" collapsed="false">
      <c r="A176" s="12" t="n">
        <v>173</v>
      </c>
      <c r="B176" s="12" t="s">
        <v>55</v>
      </c>
      <c r="C176" s="12" t="s">
        <v>526</v>
      </c>
      <c r="D176" s="12" t="s">
        <v>527</v>
      </c>
      <c r="E176" s="12" t="s">
        <v>528</v>
      </c>
      <c r="F176" s="13"/>
      <c r="G176" s="13"/>
      <c r="H176" s="13"/>
      <c r="I176" s="13"/>
      <c r="J176" s="13"/>
      <c r="K176" s="14" t="str">
        <f aca="false">IFERROR(INDEX(코드집!$B:$B,MATCH($J176,코드집!$A:$A,0)),"")</f>
        <v/>
      </c>
      <c r="L176" s="15"/>
      <c r="M176" s="15"/>
    </row>
    <row r="177" customFormat="false" ht="45.75" hidden="false" customHeight="true" outlineLevel="0" collapsed="false">
      <c r="A177" s="12" t="n">
        <v>174</v>
      </c>
      <c r="B177" s="12" t="s">
        <v>38</v>
      </c>
      <c r="C177" s="16" t="s">
        <v>529</v>
      </c>
      <c r="D177" s="12"/>
      <c r="E177" s="12"/>
      <c r="F177" s="13"/>
      <c r="G177" s="13"/>
      <c r="H177" s="13"/>
      <c r="I177" s="13"/>
      <c r="J177" s="13"/>
      <c r="K177" s="14" t="str">
        <f aca="false">IFERROR(INDEX(코드집!$B:$B,MATCH($J177,코드집!$A:$A,0)),"")</f>
        <v/>
      </c>
      <c r="L177" s="15"/>
      <c r="M177" s="15"/>
    </row>
    <row r="178" customFormat="false" ht="45.75" hidden="false" customHeight="true" outlineLevel="0" collapsed="false">
      <c r="A178" s="12" t="n">
        <v>175</v>
      </c>
      <c r="B178" s="12" t="s">
        <v>87</v>
      </c>
      <c r="C178" s="12" t="s">
        <v>530</v>
      </c>
      <c r="D178" s="12" t="s">
        <v>531</v>
      </c>
      <c r="E178" s="12" t="s">
        <v>532</v>
      </c>
      <c r="F178" s="13"/>
      <c r="G178" s="13"/>
      <c r="H178" s="13"/>
      <c r="I178" s="13"/>
      <c r="J178" s="13"/>
      <c r="K178" s="14" t="str">
        <f aca="false">IFERROR(INDEX(코드집!$B:$B,MATCH($J178,코드집!$A:$A,0)),"")</f>
        <v/>
      </c>
      <c r="L178" s="15"/>
      <c r="M178" s="15"/>
    </row>
    <row r="179" customFormat="false" ht="45.75" hidden="false" customHeight="true" outlineLevel="0" collapsed="false">
      <c r="A179" s="12" t="n">
        <v>176</v>
      </c>
      <c r="B179" s="12" t="s">
        <v>48</v>
      </c>
      <c r="C179" s="12" t="s">
        <v>533</v>
      </c>
      <c r="D179" s="12" t="s">
        <v>534</v>
      </c>
      <c r="E179" s="12" t="s">
        <v>315</v>
      </c>
      <c r="F179" s="13"/>
      <c r="G179" s="13"/>
      <c r="H179" s="13"/>
      <c r="I179" s="13"/>
      <c r="J179" s="13"/>
      <c r="K179" s="14" t="str">
        <f aca="false">IFERROR(INDEX(코드집!$B:$B,MATCH($J179,코드집!$A:$A,0)),"")</f>
        <v/>
      </c>
      <c r="L179" s="15"/>
      <c r="M179" s="15"/>
    </row>
    <row r="180" customFormat="false" ht="45.75" hidden="false" customHeight="true" outlineLevel="0" collapsed="false">
      <c r="A180" s="12" t="n">
        <v>177</v>
      </c>
      <c r="B180" s="12" t="s">
        <v>164</v>
      </c>
      <c r="C180" s="12" t="s">
        <v>535</v>
      </c>
      <c r="D180" s="12" t="s">
        <v>536</v>
      </c>
      <c r="E180" s="12" t="s">
        <v>498</v>
      </c>
      <c r="F180" s="13"/>
      <c r="G180" s="13"/>
      <c r="H180" s="13"/>
      <c r="I180" s="13"/>
      <c r="J180" s="13"/>
      <c r="K180" s="14" t="str">
        <f aca="false">IFERROR(INDEX(코드집!$B:$B,MATCH($J180,코드집!$A:$A,0)),"")</f>
        <v/>
      </c>
      <c r="L180" s="15"/>
      <c r="M180" s="15"/>
    </row>
    <row r="181" customFormat="false" ht="45.75" hidden="false" customHeight="true" outlineLevel="0" collapsed="false">
      <c r="A181" s="12" t="n">
        <v>178</v>
      </c>
      <c r="B181" s="12" t="s">
        <v>60</v>
      </c>
      <c r="C181" s="12" t="s">
        <v>537</v>
      </c>
      <c r="D181" s="12" t="s">
        <v>538</v>
      </c>
      <c r="E181" s="12" t="s">
        <v>539</v>
      </c>
      <c r="F181" s="13"/>
      <c r="G181" s="13"/>
      <c r="H181" s="13"/>
      <c r="I181" s="13"/>
      <c r="J181" s="13"/>
      <c r="K181" s="14" t="str">
        <f aca="false">IFERROR(INDEX(코드집!$B:$B,MATCH($J181,코드집!$A:$A,0)),"")</f>
        <v/>
      </c>
      <c r="L181" s="15"/>
      <c r="M181" s="15"/>
    </row>
    <row r="182" customFormat="false" ht="45.75" hidden="false" customHeight="true" outlineLevel="0" collapsed="false">
      <c r="A182" s="12" t="n">
        <v>179</v>
      </c>
      <c r="B182" s="12" t="s">
        <v>324</v>
      </c>
      <c r="C182" s="16" t="s">
        <v>540</v>
      </c>
      <c r="D182" s="12" t="s">
        <v>541</v>
      </c>
      <c r="E182" s="16" t="s">
        <v>542</v>
      </c>
      <c r="F182" s="13"/>
      <c r="G182" s="13"/>
      <c r="H182" s="13"/>
      <c r="I182" s="13"/>
      <c r="J182" s="13"/>
      <c r="K182" s="14" t="str">
        <f aca="false">IFERROR(INDEX(코드집!$B:$B,MATCH($J182,코드집!$A:$A,0)),"")</f>
        <v/>
      </c>
      <c r="L182" s="15"/>
      <c r="M182" s="15"/>
    </row>
    <row r="183" customFormat="false" ht="45.75" hidden="false" customHeight="true" outlineLevel="0" collapsed="false">
      <c r="A183" s="12" t="n">
        <v>180</v>
      </c>
      <c r="B183" s="12" t="s">
        <v>120</v>
      </c>
      <c r="C183" s="12" t="s">
        <v>543</v>
      </c>
      <c r="D183" s="12" t="s">
        <v>544</v>
      </c>
      <c r="E183" s="12" t="s">
        <v>545</v>
      </c>
      <c r="F183" s="13"/>
      <c r="G183" s="13"/>
      <c r="H183" s="13"/>
      <c r="I183" s="13"/>
      <c r="J183" s="13"/>
      <c r="K183" s="14" t="str">
        <f aca="false">IFERROR(INDEX(코드집!$B:$B,MATCH($J183,코드집!$A:$A,0)),"")</f>
        <v/>
      </c>
      <c r="L183" s="15"/>
      <c r="M183" s="15"/>
    </row>
  </sheetData>
  <autoFilter ref="A2:M183"/>
  <dataValidations count="6">
    <dataValidation allowBlank="true" error="목록에 있는 값만 넣을 수 있습니다." errorStyle="stop" operator="between" prompt="드롭다운에서 고르세요." showDropDown="false" showErrorMessage="false" showInputMessage="false" sqref="F4:F183" type="list">
      <formula1>"예,아니오,판정불가"</formula1>
      <formula2>0</formula2>
    </dataValidation>
    <dataValidation allowBlank="true" error="목록에 있는 값만 넣을 수 있습니다." errorStyle="stop" operator="between" prompt="드롭다운에서 고르세요." showDropDown="false" showErrorMessage="false" showInputMessage="false" sqref="G4:G183" type="list">
      <formula1>"PRK,JPN,CHN,USA,RUS,판정불가"</formula1>
      <formula2>0</formula2>
    </dataValidation>
    <dataValidation allowBlank="true" error="목록에 있는 값만 넣을 수 있습니다." errorStyle="stop" operator="between" prompt="드롭다운에서 고르세요." showDropDown="false" showErrorMessage="false" showInputMessage="false" sqref="H4:H183" type="list">
      <formula1>"threat,response,판정불가"</formula1>
      <formula2>0</formula2>
    </dataValidation>
    <dataValidation allowBlank="true" error="목록에 있는 값만 넣을 수 있습니다." errorStyle="stop" operator="between" prompt="드롭다운에서 고르세요." showDropDown="false" showErrorMessage="false" showInputMessage="false" sqref="I4:I183" type="list">
      <formula1>"군사,외교,경제,기타,판정불가"</formula1>
      <formula2>0</formula2>
    </dataValidation>
    <dataValidation allowBlank="true" error="목록에 있는 값만 넣을 수 있습니다." errorStyle="stop" operator="between" prompt="드롭다운에서 고르세요." showDropDown="false" showErrorMessage="false" showInputMessage="false" sqref="J4:J183" type="list">
      <formula1>"010,020,030,040,050,060,070,080,090,100,110,120,130,140,150,160,170,180,190,200,016,025,045,046,054,055,057,084,085,087,0871,0874,138,163,164,판정불가"</formula1>
      <formula2>0</formula2>
    </dataValidation>
    <dataValidation allowBlank="true" error="목록에 있는 값만 넣을 수 있습니다." errorStyle="stop" operator="between" prompt="드롭다운에서 고르세요." showDropDown="false" showErrorMessage="false" showInputMessage="false" sqref="L4:L183" type="list">
      <formula1>"높음,낮음"</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3" min="3" style="0" width="11"/>
  </cols>
  <sheetData>
    <row r="1" customFormat="false" ht="15" hidden="false" customHeight="false" outlineLevel="0" collapsed="false">
      <c r="A1" s="17" t="s">
        <v>546</v>
      </c>
      <c r="B1" s="18" t="s">
        <v>547</v>
      </c>
      <c r="C1" s="18" t="s">
        <v>548</v>
      </c>
    </row>
    <row r="2" customFormat="false" ht="15" hidden="false" customHeight="false" outlineLevel="0" collapsed="false">
      <c r="A2" s="19" t="s">
        <v>549</v>
      </c>
      <c r="B2" s="19" t="s">
        <v>550</v>
      </c>
      <c r="C2" s="20" t="n">
        <v>0</v>
      </c>
    </row>
    <row r="3" customFormat="false" ht="15" hidden="false" customHeight="false" outlineLevel="0" collapsed="false">
      <c r="A3" s="19" t="s">
        <v>551</v>
      </c>
      <c r="B3" s="19" t="s">
        <v>552</v>
      </c>
      <c r="C3" s="20" t="n">
        <v>3</v>
      </c>
    </row>
    <row r="4" customFormat="false" ht="15" hidden="false" customHeight="false" outlineLevel="0" collapsed="false">
      <c r="A4" s="19" t="s">
        <v>553</v>
      </c>
      <c r="B4" s="19" t="s">
        <v>554</v>
      </c>
      <c r="C4" s="20" t="n">
        <v>4</v>
      </c>
    </row>
    <row r="5" customFormat="false" ht="15" hidden="false" customHeight="false" outlineLevel="0" collapsed="false">
      <c r="A5" s="19" t="s">
        <v>555</v>
      </c>
      <c r="B5" s="19" t="s">
        <v>556</v>
      </c>
      <c r="C5" s="20" t="n">
        <v>1</v>
      </c>
    </row>
    <row r="6" customFormat="false" ht="15" hidden="false" customHeight="false" outlineLevel="0" collapsed="false">
      <c r="A6" s="19" t="s">
        <v>557</v>
      </c>
      <c r="B6" s="19" t="s">
        <v>558</v>
      </c>
      <c r="C6" s="20" t="n">
        <v>3.5</v>
      </c>
    </row>
    <row r="7" customFormat="false" ht="15" hidden="false" customHeight="false" outlineLevel="0" collapsed="false">
      <c r="A7" s="19" t="s">
        <v>559</v>
      </c>
      <c r="B7" s="19" t="s">
        <v>560</v>
      </c>
      <c r="C7" s="20" t="n">
        <v>6</v>
      </c>
    </row>
    <row r="8" customFormat="false" ht="15" hidden="false" customHeight="false" outlineLevel="0" collapsed="false">
      <c r="A8" s="19" t="s">
        <v>561</v>
      </c>
      <c r="B8" s="19" t="s">
        <v>562</v>
      </c>
      <c r="C8" s="20" t="n">
        <v>7</v>
      </c>
    </row>
    <row r="9" customFormat="false" ht="15" hidden="false" customHeight="false" outlineLevel="0" collapsed="false">
      <c r="A9" s="19" t="s">
        <v>563</v>
      </c>
      <c r="B9" s="19" t="s">
        <v>564</v>
      </c>
      <c r="C9" s="20" t="n">
        <v>5</v>
      </c>
    </row>
    <row r="10" customFormat="false" ht="15" hidden="false" customHeight="false" outlineLevel="0" collapsed="false">
      <c r="A10" s="19" t="s">
        <v>565</v>
      </c>
      <c r="B10" s="19" t="s">
        <v>566</v>
      </c>
      <c r="C10" s="20" t="n">
        <v>-2</v>
      </c>
    </row>
    <row r="11" customFormat="false" ht="15" hidden="false" customHeight="false" outlineLevel="0" collapsed="false">
      <c r="A11" s="19" t="s">
        <v>567</v>
      </c>
      <c r="B11" s="19" t="s">
        <v>568</v>
      </c>
      <c r="C11" s="20" t="n">
        <v>-5</v>
      </c>
    </row>
    <row r="12" customFormat="false" ht="15" hidden="false" customHeight="false" outlineLevel="0" collapsed="false">
      <c r="A12" s="19" t="s">
        <v>569</v>
      </c>
      <c r="B12" s="19" t="s">
        <v>570</v>
      </c>
      <c r="C12" s="20" t="n">
        <v>-2</v>
      </c>
    </row>
    <row r="13" customFormat="false" ht="15" hidden="false" customHeight="false" outlineLevel="0" collapsed="false">
      <c r="A13" s="19" t="s">
        <v>571</v>
      </c>
      <c r="B13" s="19" t="s">
        <v>572</v>
      </c>
      <c r="C13" s="20" t="n">
        <v>-4</v>
      </c>
    </row>
    <row r="14" customFormat="false" ht="15" hidden="false" customHeight="false" outlineLevel="0" collapsed="false">
      <c r="A14" s="19" t="s">
        <v>573</v>
      </c>
      <c r="B14" s="19" t="s">
        <v>574</v>
      </c>
      <c r="C14" s="20" t="n">
        <v>-4.4</v>
      </c>
    </row>
    <row r="15" customFormat="false" ht="15" hidden="false" customHeight="false" outlineLevel="0" collapsed="false">
      <c r="A15" s="19" t="s">
        <v>575</v>
      </c>
      <c r="B15" s="19" t="s">
        <v>576</v>
      </c>
      <c r="C15" s="20" t="n">
        <v>-6.5</v>
      </c>
    </row>
    <row r="16" customFormat="false" ht="15" hidden="false" customHeight="false" outlineLevel="0" collapsed="false">
      <c r="A16" s="19" t="s">
        <v>45</v>
      </c>
      <c r="B16" s="19" t="s">
        <v>577</v>
      </c>
      <c r="C16" s="20" t="n">
        <v>-7.2</v>
      </c>
    </row>
    <row r="17" customFormat="false" ht="15" hidden="false" customHeight="false" outlineLevel="0" collapsed="false">
      <c r="A17" s="19" t="s">
        <v>578</v>
      </c>
      <c r="B17" s="19" t="s">
        <v>579</v>
      </c>
      <c r="C17" s="20" t="n">
        <v>-4</v>
      </c>
    </row>
    <row r="18" customFormat="false" ht="15" hidden="false" customHeight="false" outlineLevel="0" collapsed="false">
      <c r="A18" s="19" t="s">
        <v>580</v>
      </c>
      <c r="B18" s="19" t="s">
        <v>581</v>
      </c>
      <c r="C18" s="21" t="s">
        <v>582</v>
      </c>
    </row>
    <row r="19" customFormat="false" ht="15" hidden="false" customHeight="false" outlineLevel="0" collapsed="false">
      <c r="A19" s="19" t="s">
        <v>583</v>
      </c>
      <c r="B19" s="19" t="s">
        <v>584</v>
      </c>
      <c r="C19" s="20" t="n">
        <v>-9</v>
      </c>
    </row>
    <row r="20" customFormat="false" ht="15" hidden="false" customHeight="false" outlineLevel="0" collapsed="false">
      <c r="A20" s="19" t="s">
        <v>585</v>
      </c>
      <c r="B20" s="19" t="s">
        <v>586</v>
      </c>
      <c r="C20" s="20" t="n">
        <v>-10</v>
      </c>
    </row>
    <row r="21" customFormat="false" ht="15" hidden="false" customHeight="false" outlineLevel="0" collapsed="false">
      <c r="A21" s="19" t="s">
        <v>587</v>
      </c>
      <c r="B21" s="19" t="s">
        <v>588</v>
      </c>
      <c r="C21" s="21" t="s">
        <v>582</v>
      </c>
    </row>
    <row r="22" customFormat="false" ht="15" hidden="false" customHeight="false" outlineLevel="0" collapsed="false">
      <c r="A22" s="19" t="s">
        <v>589</v>
      </c>
      <c r="B22" s="19" t="s">
        <v>590</v>
      </c>
      <c r="C22" s="20" t="n">
        <v>-2</v>
      </c>
    </row>
    <row r="23" customFormat="false" ht="15" hidden="false" customHeight="false" outlineLevel="0" collapsed="false">
      <c r="A23" s="19" t="s">
        <v>591</v>
      </c>
      <c r="B23" s="19" t="s">
        <v>592</v>
      </c>
      <c r="C23" s="20" t="n">
        <v>-0.3</v>
      </c>
    </row>
    <row r="24" customFormat="false" ht="15" hidden="false" customHeight="false" outlineLevel="0" collapsed="false">
      <c r="A24" s="19" t="s">
        <v>593</v>
      </c>
      <c r="B24" s="19" t="s">
        <v>594</v>
      </c>
      <c r="C24" s="20" t="n">
        <v>5</v>
      </c>
    </row>
    <row r="25" customFormat="false" ht="15" hidden="false" customHeight="false" outlineLevel="0" collapsed="false">
      <c r="A25" s="19" t="s">
        <v>595</v>
      </c>
      <c r="B25" s="19" t="s">
        <v>596</v>
      </c>
      <c r="C25" s="20" t="n">
        <v>7</v>
      </c>
    </row>
    <row r="26" customFormat="false" ht="15" hidden="false" customHeight="false" outlineLevel="0" collapsed="false">
      <c r="A26" s="19" t="s">
        <v>597</v>
      </c>
      <c r="B26" s="19" t="s">
        <v>598</v>
      </c>
      <c r="C26" s="20" t="n">
        <v>6</v>
      </c>
    </row>
    <row r="27" customFormat="false" ht="15" hidden="false" customHeight="false" outlineLevel="0" collapsed="false">
      <c r="A27" s="19" t="s">
        <v>599</v>
      </c>
      <c r="B27" s="19" t="s">
        <v>600</v>
      </c>
      <c r="C27" s="20" t="n">
        <v>7</v>
      </c>
    </row>
    <row r="28" customFormat="false" ht="15" hidden="false" customHeight="false" outlineLevel="0" collapsed="false">
      <c r="A28" s="19" t="s">
        <v>601</v>
      </c>
      <c r="B28" s="19" t="s">
        <v>602</v>
      </c>
      <c r="C28" s="20" t="n">
        <v>8</v>
      </c>
    </row>
    <row r="29" customFormat="false" ht="15" hidden="false" customHeight="false" outlineLevel="0" collapsed="false">
      <c r="A29" s="19" t="s">
        <v>603</v>
      </c>
      <c r="B29" s="19" t="s">
        <v>604</v>
      </c>
      <c r="C29" s="20" t="n">
        <v>7</v>
      </c>
    </row>
    <row r="30" customFormat="false" ht="15" hidden="false" customHeight="false" outlineLevel="0" collapsed="false">
      <c r="A30" s="19" t="s">
        <v>605</v>
      </c>
      <c r="B30" s="19" t="s">
        <v>606</v>
      </c>
      <c r="C30" s="20" t="n">
        <v>7</v>
      </c>
    </row>
    <row r="31" customFormat="false" ht="15" hidden="false" customHeight="false" outlineLevel="0" collapsed="false">
      <c r="A31" s="19" t="s">
        <v>607</v>
      </c>
      <c r="B31" s="19" t="s">
        <v>608</v>
      </c>
      <c r="C31" s="20" t="n">
        <v>9</v>
      </c>
    </row>
    <row r="32" customFormat="false" ht="15" hidden="false" customHeight="false" outlineLevel="0" collapsed="false">
      <c r="A32" s="19" t="s">
        <v>609</v>
      </c>
      <c r="B32" s="19" t="s">
        <v>610</v>
      </c>
      <c r="C32" s="20" t="n">
        <v>9</v>
      </c>
    </row>
    <row r="33" customFormat="false" ht="15" hidden="false" customHeight="false" outlineLevel="0" collapsed="false">
      <c r="A33" s="19" t="s">
        <v>611</v>
      </c>
      <c r="B33" s="19" t="s">
        <v>612</v>
      </c>
      <c r="C33" s="20" t="n">
        <v>10</v>
      </c>
    </row>
    <row r="34" customFormat="false" ht="15" hidden="false" customHeight="false" outlineLevel="0" collapsed="false">
      <c r="A34" s="19" t="s">
        <v>613</v>
      </c>
      <c r="B34" s="19" t="s">
        <v>614</v>
      </c>
      <c r="C34" s="20" t="n">
        <v>-7</v>
      </c>
    </row>
    <row r="35" customFormat="false" ht="15" hidden="false" customHeight="false" outlineLevel="0" collapsed="false">
      <c r="A35" s="19" t="s">
        <v>615</v>
      </c>
      <c r="B35" s="19" t="s">
        <v>616</v>
      </c>
      <c r="C35" s="20" t="n">
        <v>-8</v>
      </c>
    </row>
    <row r="36" customFormat="false" ht="15" hidden="false" customHeight="false" outlineLevel="0" collapsed="false">
      <c r="A36" s="19" t="s">
        <v>617</v>
      </c>
      <c r="B36" s="19" t="s">
        <v>618</v>
      </c>
      <c r="C36" s="20" t="n">
        <v>-7</v>
      </c>
    </row>
    <row r="38" customFormat="false" ht="15" hidden="false" customHeight="false" outlineLevel="0" collapsed="false">
      <c r="A38" s="22" t="s">
        <v>619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2026-10-21T05:23:56Z</dcterms:created>
  <dc:creator>openpyxl</dc:creator>
  <dc:description/>
  <dc:language>en-US</dc:language>
  <cp:lastModifiedBy/>
  <dcterms:modified xsi:type="dcterms:W3CDTF">2026-10-21T05:23:56Z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